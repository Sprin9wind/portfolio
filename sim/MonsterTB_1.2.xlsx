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Define" sheetId="1" r:id="rId4"/>
    <sheet state="visible" name="MonsterTB" sheetId="2" r:id="rId5"/>
    <sheet state="visible" name="MonAtkPatternTB" sheetId="3" r:id="rId6"/>
    <sheet state="visible" name="MonToPlayerSeTB" sheetId="4" r:id="rId7"/>
    <sheet state="visible" name="DropTB" sheetId="5" r:id="rId8"/>
  </sheets>
  <definedNames/>
  <calcPr/>
  <extLst>
    <ext uri="GoogleSheetsCustomDataVersion2">
      <go:sheetsCustomData xmlns:go="http://customooxmlschemas.google.com/" r:id="rId9" roundtripDataChecksum="igpMjkUb3kaSJImhgTc36DoJ5gdW4mHoaSJ3w0crpwI="/>
    </ext>
  </extLst>
</workbook>
</file>

<file path=xl/sharedStrings.xml><?xml version="1.0" encoding="utf-8"?>
<sst xmlns="http://schemas.openxmlformats.org/spreadsheetml/2006/main" count="870" uniqueCount="430">
  <si>
    <t>MonsterTB</t>
  </si>
  <si>
    <t>컬럼명</t>
  </si>
  <si>
    <t>컬럼명(한글)</t>
  </si>
  <si>
    <t>타입</t>
  </si>
  <si>
    <t>설명</t>
  </si>
  <si>
    <t>참조테이블</t>
  </si>
  <si>
    <t>MonsterID</t>
  </si>
  <si>
    <t>몬스터ID</t>
  </si>
  <si>
    <t>INT</t>
  </si>
  <si>
    <t>몬스터 테이블의 고유 키값으로 사용
-ID발번규칙: 0(등장지역)/0(등급)/000(고유숫자)
-등급: 0: Normal, 1: Elite, 2:Boss</t>
  </si>
  <si>
    <t>Name</t>
  </si>
  <si>
    <t>몬스터명</t>
  </si>
  <si>
    <t>STRING</t>
  </si>
  <si>
    <t>몬스터의 이름(한글), 별도의 StringTB로 관리X</t>
  </si>
  <si>
    <t>Level</t>
  </si>
  <si>
    <t>레벨</t>
  </si>
  <si>
    <t>Grade</t>
  </si>
  <si>
    <t>등급</t>
  </si>
  <si>
    <t>ENUM</t>
  </si>
  <si>
    <t>몬스터의 등급 구분: 일반보스,중간보스,보스로 구분
-몬스터 등급에 따라 가질수있는 약점 조합 개수를 관리
-Enum {Normal,Elite,Boss}</t>
  </si>
  <si>
    <t xml:space="preserve"> SinCategory</t>
  </si>
  <si>
    <t>죄악 계열</t>
  </si>
  <si>
    <t>몬스터의 죄악 계열 구분
- ENUM {Pride, Greed, Envy, Wrath, Lust, Gluttony, Sloth, None}
- Null = 보스 계열 몬스터</t>
  </si>
  <si>
    <t>HP</t>
  </si>
  <si>
    <t>체력</t>
  </si>
  <si>
    <t>전투시의 몬스터의 HP</t>
  </si>
  <si>
    <t>ATK</t>
  </si>
  <si>
    <t>공격력</t>
  </si>
  <si>
    <t>전투시의 몬스터의 공격력</t>
  </si>
  <si>
    <t>DEF</t>
  </si>
  <si>
    <t>방어력</t>
  </si>
  <si>
    <t>전투시의 몬스터의 방어력</t>
  </si>
  <si>
    <t>Lifetime</t>
  </si>
  <si>
    <t>수명</t>
  </si>
  <si>
    <t>전투시작시의 몬스터의 초기 수명수치</t>
  </si>
  <si>
    <t>AtbSpeed</t>
  </si>
  <si>
    <t>게이지회복율</t>
  </si>
  <si>
    <t>FLOAT</t>
  </si>
  <si>
    <t>몬스터의 행동 게이지 회복률
-충전 시간(초) = 1000 / (100 + AtbSpeed / 5)</t>
  </si>
  <si>
    <t>ComboRecipe1</t>
  </si>
  <si>
    <t>약점 조합 1</t>
  </si>
  <si>
    <t>몬스터의 약점 조합(최소 2자리~최대4자리 까지 입력) 
일반 몬스터의 경우 ComboRecipe1,2,3중 무작위로 1개사용 , 중보는 2개, 보스는 3개 모두 사용</t>
  </si>
  <si>
    <t>ComboRecipe2</t>
  </si>
  <si>
    <t>약점조합2</t>
  </si>
  <si>
    <t>ComboRecipe3</t>
  </si>
  <si>
    <t>약점조합3</t>
  </si>
  <si>
    <t>Pattern1Name</t>
  </si>
  <si>
    <t>패턴1 이름</t>
  </si>
  <si>
    <t>몬스터의 첫번째 공격패턴의 공격명</t>
  </si>
  <si>
    <t>Pattern1Effect</t>
  </si>
  <si>
    <t>패턴1 효과</t>
  </si>
  <si>
    <t>몬스터의 첫번째 공격패턴을 패턴테이블에서 참조(일반공격 고정)</t>
  </si>
  <si>
    <t>MonAtkPatternTB</t>
  </si>
  <si>
    <t>Pattern1Anim</t>
  </si>
  <si>
    <t>패턴1 애니메이션</t>
  </si>
  <si>
    <t>몬스터의 첫번째 공격패턴의 애니메이션 경로</t>
  </si>
  <si>
    <t>Pattern2Name</t>
  </si>
  <si>
    <t>패턴2 이름</t>
  </si>
  <si>
    <t>몬스터의 두번째 공격패턴의 공격명</t>
  </si>
  <si>
    <t>Pattern2Effect</t>
  </si>
  <si>
    <t>패턴2 효과</t>
  </si>
  <si>
    <t>몬스터의 두번째 공격패턴을 패턴테이블에서 참조</t>
  </si>
  <si>
    <t>Pattern2Anim</t>
  </si>
  <si>
    <t>패턴2 애니메이션</t>
  </si>
  <si>
    <t>몬스터의 두번째 공격패턴의 애니메이션 경로</t>
  </si>
  <si>
    <t>Pattern3Name</t>
  </si>
  <si>
    <t>패턴3 이름</t>
  </si>
  <si>
    <t>Pattern3Effect</t>
  </si>
  <si>
    <t>패턴3 효과</t>
  </si>
  <si>
    <t>Pattern3Anim</t>
  </si>
  <si>
    <t>패턴3 애니메이션</t>
  </si>
  <si>
    <t>DropTableID</t>
  </si>
  <si>
    <t>드랍테이블ID</t>
  </si>
  <si>
    <t>몬스터 처치시 획득하는 아이템 목록을 드랍테이블에서 참조</t>
  </si>
  <si>
    <t>DropTB</t>
  </si>
  <si>
    <t>컬러명(한글)</t>
  </si>
  <si>
    <t>PatternID</t>
  </si>
  <si>
    <t>패턴ID</t>
  </si>
  <si>
    <t>몬스터 패턴 테이블의 고유 키값으로 사용</t>
  </si>
  <si>
    <t>PatternName</t>
  </si>
  <si>
    <t>패턴명</t>
  </si>
  <si>
    <t>적 행동 HUD에 표시할 패턴명(한글)</t>
  </si>
  <si>
    <t>DamageRate</t>
  </si>
  <si>
    <t>데미지 배율</t>
  </si>
  <si>
    <t>공격시 플레이어에게 입히는 데미지 배율(몬스터의 ATK스탯과 곱하여 사용)</t>
  </si>
  <si>
    <t>IgnoreDef</t>
  </si>
  <si>
    <t>방어무시여부</t>
  </si>
  <si>
    <t>BOOL</t>
  </si>
  <si>
    <t>플레이어의 방어행동 무시 여부 (PowerAtk 패턴만 TRUE)</t>
  </si>
  <si>
    <t>AbsorbRate</t>
  </si>
  <si>
    <t>생명흡수비율</t>
  </si>
  <si>
    <t>Absorb 패턴의 생명흡수비율</t>
  </si>
  <si>
    <t>StatusEffectID</t>
  </si>
  <si>
    <t>디버프 유형</t>
  </si>
  <si>
    <t>패턴에 부여되는 상태이상 ID , Null값 허용</t>
  </si>
  <si>
    <t>MonToPlayerSeTB</t>
  </si>
  <si>
    <t>상태이상ID</t>
  </si>
  <si>
    <t>StatusEffectTable의 고유 키값으로 사용</t>
  </si>
  <si>
    <t>StatusName</t>
  </si>
  <si>
    <t>상태이상명</t>
  </si>
  <si>
    <t>상태이상 이름(한글) / 플레이어 상태이상 HUD에 표시</t>
  </si>
  <si>
    <t>EffectType</t>
  </si>
  <si>
    <t>효과 종류</t>
  </si>
  <si>
    <t>상태이상 타입 구분 / ENUM {DOT, Debuff, Confusion, Sleep, Mini}</t>
  </si>
  <si>
    <t>TargetStat</t>
  </si>
  <si>
    <t>대상 스탯</t>
  </si>
  <si>
    <t>디버프 적용 대상 스탯 / ENUM {MaxHp, Atk, AtbSpeed, All} / DOT·Confusion·Sleep은 NULL</t>
  </si>
  <si>
    <t>Amount</t>
  </si>
  <si>
    <t>수치</t>
  </si>
  <si>
    <t>상태이상 적용 수치 / % 치환하여 사용 / Confusion·Sleep은 NULL</t>
  </si>
  <si>
    <t>Duration</t>
  </si>
  <si>
    <t>지속시간</t>
  </si>
  <si>
    <t>상태이상 지속 턴 수 / 플레이어의 행동게이지 슬롯이 차는 시점마다 1턴 경과로 간주</t>
  </si>
  <si>
    <t>BreakOnHit</t>
  </si>
  <si>
    <t>피격시 해제</t>
  </si>
  <si>
    <t>피격 시 즉시 해제 여부 / Sleep만 TRUE / 나머지 FALSE</t>
  </si>
  <si>
    <t>Stackable</t>
  </si>
  <si>
    <t>중첩 여부</t>
  </si>
  <si>
    <t>동일 상태이상 중첩 가능 여부 / Poison만 TRUE / 나머지 FALSE</t>
  </si>
  <si>
    <t>[Fixed 타입 드롭 로직]</t>
  </si>
  <si>
    <t>1. 각 장비 슬롯(무기1~4 / 갑옷 / 장화 / 반지)별로 기초 드롭 확률을 개별 판정한다</t>
  </si>
  <si>
    <t>DropID</t>
  </si>
  <si>
    <t>드롭테이블ID</t>
  </si>
  <si>
    <t>DropTable의 고유 키값</t>
  </si>
  <si>
    <t>2. LUK 스탯에 따라 각 장비의 기초 드롭 확률에 가중치를 적용한다</t>
  </si>
  <si>
    <t>DropType</t>
  </si>
  <si>
    <t>드롭 방식</t>
  </si>
  <si>
    <t>ENUM {Fixed, Random}
*Fixed=테이블내 지정한 아이템 풀에서 확률 드롭(Elite,Boss) 
*Random=전체 일반 아이템 풀 중 랜덤으로 1개 드롭(Normal)</t>
  </si>
  <si>
    <t>3. 판정 성공한 장비가 2개 이상일 경우 균등 확률로 1개만 최종 드롭된다</t>
  </si>
  <si>
    <t>WeaponID</t>
  </si>
  <si>
    <t>무기1 ID</t>
  </si>
  <si>
    <t>Fixed 전용 / 드롭 가능한 무기1 아이템 ID / NULL 허용</t>
  </si>
  <si>
    <t>ItemTable</t>
  </si>
  <si>
    <t>4. 판정 성공한 장비가 없으면 장비 드롭 없음</t>
  </si>
  <si>
    <t>WeaponDropRate</t>
  </si>
  <si>
    <t>무기1 드롭확률</t>
  </si>
  <si>
    <t>Fixed 전용 / 무기1 기초 드롭 확률 / LUK 스탯 가중치 적용 / NULL 허용</t>
  </si>
  <si>
    <t>5. 7대죄 조각은 장비 드롭과 별개로 독립 판정한다</t>
  </si>
  <si>
    <t>Weapon2ID</t>
  </si>
  <si>
    <t>무기2 ID</t>
  </si>
  <si>
    <t>Fixed 전용 / 드롭 가능한 무기2 아이템 ID / NULL 허용</t>
  </si>
  <si>
    <t>Weapon2DropRate</t>
  </si>
  <si>
    <t>무기2 드롭확률</t>
  </si>
  <si>
    <t>Fixed 전용 / 무기2 기초 드롭 확률 / LUK 스탯 가중치 적용 / NULL 허용</t>
  </si>
  <si>
    <t>[Random 타입 드롭 로직]</t>
  </si>
  <si>
    <t>Weapon3ID</t>
  </si>
  <si>
    <t>무기3 ID</t>
  </si>
  <si>
    <t>Fixed 전용 / 드롭 가능한 무기3 아이템 ID / NULL 허용</t>
  </si>
  <si>
    <t>1. 전체 일반 아이템 풀에서 랜덤으로 1개를 드롭한다</t>
  </si>
  <si>
    <t>Weapon3DropRate</t>
  </si>
  <si>
    <t>무기3 드롭확률</t>
  </si>
  <si>
    <t>Fixed 전용 / 무기3 기초 드롭 확률 / LUK 스탯 가중치 적용 / NULL 허용</t>
  </si>
  <si>
    <t>2. LUK 스탯에 따라 드롭 확률 가중치를 적용한다</t>
  </si>
  <si>
    <t>Weapon4ID</t>
  </si>
  <si>
    <t>무기4 ID</t>
  </si>
  <si>
    <t>Fixed 전용 / 드롭 가능한 무기4 아이템 ID / NULL 허용</t>
  </si>
  <si>
    <t>3. 7대죄 조각은 장비 드롭과 별개로 독립 판정한다</t>
  </si>
  <si>
    <t>Weapon4DropRate</t>
  </si>
  <si>
    <t>무기4 드롭확률</t>
  </si>
  <si>
    <t>Fixed 전용 / 무기4 기초 드롭 확률 / LUK 스탯 가중치 적용 / NULL 허용</t>
  </si>
  <si>
    <t>ArmorID</t>
  </si>
  <si>
    <t>갑옷 ID</t>
  </si>
  <si>
    <t>Fixed 전용 / 드롭 가능한 갑옷 아이템 ID / NULL 허용</t>
  </si>
  <si>
    <t>ArmorDropRate</t>
  </si>
  <si>
    <t>갑옷 드롭확률</t>
  </si>
  <si>
    <t>Fixed 전용 / 갑옷 기초 드롭 확률 / LUK 스탯 가중치 적용 / NULL 허용</t>
  </si>
  <si>
    <t>ShoesID</t>
  </si>
  <si>
    <t>장화 ID</t>
  </si>
  <si>
    <t>Fixed 전용 / 드롭 가능한 장화 아이템 ID / NULL 허용</t>
  </si>
  <si>
    <t>ShoesDropRate</t>
  </si>
  <si>
    <t>장화 드롭확률</t>
  </si>
  <si>
    <t>Fixed 전용 / 장화 기초 드롭 확률 / LUK 스탯 가중치 적용 / NULL 허용</t>
  </si>
  <si>
    <t>RingID</t>
  </si>
  <si>
    <t>반지 ID</t>
  </si>
  <si>
    <t>Fixed 전용 / 드롭 가능한 반지 아이템 ID / NULL 허용</t>
  </si>
  <si>
    <t>RingDropRate</t>
  </si>
  <si>
    <t>반지 드롭확률</t>
  </si>
  <si>
    <t>Fixed 전용 / 반지 기초 드롭 확률 / LUK 스탯 가중치 적용 / NULL 허용</t>
  </si>
  <si>
    <t>MaterialID</t>
  </si>
  <si>
    <t>7대죄 조각 ID</t>
  </si>
  <si>
    <t>Fixed 전용 / 드롭되는 7대죄 조각 ID / 장비 드롭과 독립 판정 / NULL 허용</t>
  </si>
  <si>
    <t>MaterialRate</t>
  </si>
  <si>
    <t>7대죄 조각 수량</t>
  </si>
  <si>
    <t>Fixed 전용 / 드롭 시 획득 수량 / NULL 허용</t>
  </si>
  <si>
    <t>SinCategory</t>
  </si>
  <si>
    <t>죄악 카테고리</t>
  </si>
  <si>
    <t>게이지회복속도</t>
  </si>
  <si>
    <t>목패 포졸</t>
  </si>
  <si>
    <t>Normal</t>
  </si>
  <si>
    <t>Pride</t>
  </si>
  <si>
    <t>곤봉 휘두르기</t>
  </si>
  <si>
    <t>NormalAtk</t>
  </si>
  <si>
    <t>Assets/Anim/포졸/곤봉휘두르기</t>
  </si>
  <si>
    <t>목패 찍기</t>
  </si>
  <si>
    <t>PowerAtk</t>
  </si>
  <si>
    <t>Assets/Anim/포졸/목패찍기</t>
  </si>
  <si>
    <t>관복 밀치기</t>
  </si>
  <si>
    <t>Weak</t>
  </si>
  <si>
    <t>Assets/Anim/포졸/관복밀치기</t>
  </si>
  <si>
    <t>공허의 왕 갑주</t>
  </si>
  <si>
    <t>Elite</t>
  </si>
  <si>
    <t>의장검 내려베기</t>
  </si>
  <si>
    <t>Assets/Anim/갑주/의장검내려베기</t>
  </si>
  <si>
    <t>왕관 회전투척</t>
  </si>
  <si>
    <t>Slow</t>
  </si>
  <si>
    <t>Assets/Anim/갑주/왕관투척</t>
  </si>
  <si>
    <t>망토 군림휘감기</t>
  </si>
  <si>
    <t>Mini</t>
  </si>
  <si>
    <t>Assets/Anim/갑주/망토휘감기</t>
  </si>
  <si>
    <t>이빨 상자</t>
  </si>
  <si>
    <t>Greed</t>
  </si>
  <si>
    <t>상자 덮쳐물기</t>
  </si>
  <si>
    <t>Assets/Anim/이빨상자/덮쳐물기</t>
  </si>
  <si>
    <t>자물쇠 내려감금</t>
  </si>
  <si>
    <t>Assets/Anim/이빨상자/자물쇠감금</t>
  </si>
  <si>
    <t>갈고리 끌어긁기</t>
  </si>
  <si>
    <t>Absorb</t>
  </si>
  <si>
    <t>Assets/Anim/이빨상자/갈고리긁기</t>
  </si>
  <si>
    <t>금고지기</t>
  </si>
  <si>
    <t>철제 곤봉 봉인타</t>
  </si>
  <si>
    <t>Assets/Anim/금고지기/곤봉봉인타</t>
  </si>
  <si>
    <t>사슬 회수</t>
  </si>
  <si>
    <t>Assets/Anim/금고지기/사슬회수</t>
  </si>
  <si>
    <t>열쇠 잠금투척</t>
  </si>
  <si>
    <t>Assets/Anim/금고지기/열쇠투척</t>
  </si>
  <si>
    <t>알림 추적자</t>
  </si>
  <si>
    <t>Envy</t>
  </si>
  <si>
    <t>유리 파편 긁기</t>
  </si>
  <si>
    <t>Assets/Anim/알림추적자/유리긁기</t>
  </si>
  <si>
    <t>이어폰 줄 휘감기</t>
  </si>
  <si>
    <t>Assets/Anim/알림추적자/이어폰휘감기</t>
  </si>
  <si>
    <t>화면 찌르기</t>
  </si>
  <si>
    <t>Poison</t>
  </si>
  <si>
    <t>Assets/Anim/알림추적자/화면찌르기</t>
  </si>
  <si>
    <t>거울가면자</t>
  </si>
  <si>
    <t>거울 파편 긁기</t>
  </si>
  <si>
    <t>Assets/Anim/거울가면자/파편긁기</t>
  </si>
  <si>
    <t>가면 내려찍기</t>
  </si>
  <si>
    <t>Assets/Anim/거울가면자/가면찍기</t>
  </si>
  <si>
    <t>무도회 찌르기</t>
  </si>
  <si>
    <t>Bleed</t>
  </si>
  <si>
    <t>Assets/Anim/거울가면자/무도회찌르기</t>
  </si>
  <si>
    <t>골목 폭도</t>
  </si>
  <si>
    <t>Wrath</t>
  </si>
  <si>
    <t>각목 난폭휘두르기</t>
  </si>
  <si>
    <t>Assets/Anim/골목폭도/각목휘두르기</t>
  </si>
  <si>
    <t>쇠파이프 분노찍기</t>
  </si>
  <si>
    <t>Assets/Anim/골목폭도/쇠파이프찍기</t>
  </si>
  <si>
    <t>사슬 후려갈기기</t>
  </si>
  <si>
    <t>Assets/Anim/골목폭도/사슬후려갈기기</t>
  </si>
  <si>
    <t>붉은 처형인</t>
  </si>
  <si>
    <t>처형 도끼 가로베기</t>
  </si>
  <si>
    <t>Assets/Anim/처형인/도끼가로베기</t>
  </si>
  <si>
    <t>단두 내려찍기</t>
  </si>
  <si>
    <t>Assets/Anim/처형인/단두내려찍기</t>
  </si>
  <si>
    <t>도끼자루 압박돌진</t>
  </si>
  <si>
    <t>Assets/Anim/처형인/도끼자루돌진</t>
  </si>
  <si>
    <t>칼비녀 기녀</t>
  </si>
  <si>
    <t>Lust</t>
  </si>
  <si>
    <t>비녀 유인찌르기</t>
  </si>
  <si>
    <t>Assets/Anim/기녀/비녀찌르기</t>
  </si>
  <si>
    <t>부채 베기</t>
  </si>
  <si>
    <t>Assets/Anim/기녀/부채베기</t>
  </si>
  <si>
    <t>소매 휘감기</t>
  </si>
  <si>
    <t>Sleep</t>
  </si>
  <si>
    <t>Assets/Anim/기녀/소매휘감기</t>
  </si>
  <si>
    <t>난파의 세이렌</t>
  </si>
  <si>
    <t>발톱 긁기</t>
  </si>
  <si>
    <t>Assets/Anim/세이렌/발톱긁기</t>
  </si>
  <si>
    <t>유혹의 음파</t>
  </si>
  <si>
    <t>Assets/Anim/세이렌/음파</t>
  </si>
  <si>
    <t>지느러미 베기</t>
  </si>
  <si>
    <t>Assets/Anim/세이렌/지느러미베기</t>
  </si>
  <si>
    <t>포장지 들개</t>
  </si>
  <si>
    <t>Gluttony</t>
  </si>
  <si>
    <t>송곳니 물기</t>
  </si>
  <si>
    <t>Assets/Anim/들개/송곳니물기</t>
  </si>
  <si>
    <t>젓가락 찌르기</t>
  </si>
  <si>
    <t>Assets/Anim/들개/젓가락찌르기</t>
  </si>
  <si>
    <t>봉투 후려치기</t>
  </si>
  <si>
    <t>Assets/Anim/들개/봉투후려치기</t>
  </si>
  <si>
    <t>잔치상 도살자</t>
  </si>
  <si>
    <t>고기칼 베기</t>
  </si>
  <si>
    <t>Assets/Anim/도살자/고기칼베기</t>
  </si>
  <si>
    <t>포크창 찌르기</t>
  </si>
  <si>
    <t>Assets/Anim/도살자/포크창찌르기</t>
  </si>
  <si>
    <t>식탁보 휘감기</t>
  </si>
  <si>
    <t>Assets/Anim/도살자/식탁보휘감기</t>
  </si>
  <si>
    <t>꺼진 화면 망자</t>
  </si>
  <si>
    <t>Sloth</t>
  </si>
  <si>
    <t>키보드 파편 던지기</t>
  </si>
  <si>
    <t>Assets/Anim/화면망자/키보드던지기</t>
  </si>
  <si>
    <t>전선 휘감기</t>
  </si>
  <si>
    <t>Assets/Anim/화면망자/전선휘감기</t>
  </si>
  <si>
    <t>모니터 밀치기</t>
  </si>
  <si>
    <t>Assets/Anim/화면망자/모니터밀치기</t>
  </si>
  <si>
    <t>잠든 파수꾼</t>
  </si>
  <si>
    <t>창 찌르기</t>
  </si>
  <si>
    <t>Assets/Anim/파수꾼/창찌르기</t>
  </si>
  <si>
    <t>방패 밀치기</t>
  </si>
  <si>
    <t>Assets/Anim/파수꾼/방패밀치기</t>
  </si>
  <si>
    <t>종 내려찍기</t>
  </si>
  <si>
    <t>Assets/Anim/파수꾼/종내려찍기</t>
  </si>
  <si>
    <t>죄목 기록관</t>
  </si>
  <si>
    <t>Boss</t>
  </si>
  <si>
    <t>None</t>
  </si>
  <si>
    <t>판결 붓 내려긋기</t>
  </si>
  <si>
    <t>Assets/Anim/기록관/붓내려긋기</t>
  </si>
  <si>
    <t>죄목 사슬기록</t>
  </si>
  <si>
    <t>Assets/Anim/기록관/사슬기록</t>
  </si>
  <si>
    <t>기록된 행동 모방</t>
  </si>
  <si>
    <t>Confuse</t>
  </si>
  <si>
    <t>Assets/Anim/기록관/행동모방</t>
  </si>
  <si>
    <t>모래시계의 심판자</t>
  </si>
  <si>
    <t>시간 판결</t>
  </si>
  <si>
    <t>Assets/Anim/심판자/시간판결</t>
  </si>
  <si>
    <t>죄악 회수</t>
  </si>
  <si>
    <t>Assets/Anim/심판자/죄악회수</t>
  </si>
  <si>
    <t>반복되는 죄</t>
  </si>
  <si>
    <t>Assets/Anim/심판자/반복되는죄</t>
  </si>
  <si>
    <t>Debuff_ID</t>
  </si>
  <si>
    <t>기본공격</t>
  </si>
  <si>
    <t>NULL</t>
  </si>
  <si>
    <t>강타</t>
  </si>
  <si>
    <t>흡수</t>
  </si>
  <si>
    <t>맹독 공격</t>
  </si>
  <si>
    <t>SE_Poison</t>
  </si>
  <si>
    <t>출혈</t>
  </si>
  <si>
    <t>SE_Bleed</t>
  </si>
  <si>
    <t>약화</t>
  </si>
  <si>
    <t>SE_Weak</t>
  </si>
  <si>
    <t>둔화</t>
  </si>
  <si>
    <t>SE_Slow</t>
  </si>
  <si>
    <t>혼란</t>
  </si>
  <si>
    <t>SE_Confuse</t>
  </si>
  <si>
    <t>수면 공격</t>
  </si>
  <si>
    <t>SE_Sleep</t>
  </si>
  <si>
    <t>축소</t>
  </si>
  <si>
    <t>SE_Mini</t>
  </si>
  <si>
    <t>StatusEffect_ID</t>
  </si>
  <si>
    <t>피격시 해제 여부</t>
  </si>
  <si>
    <t>맹독</t>
  </si>
  <si>
    <t>DOT</t>
  </si>
  <si>
    <t>Debuff</t>
  </si>
  <si>
    <t>Atk</t>
  </si>
  <si>
    <t>Confusion</t>
  </si>
  <si>
    <t>수면</t>
  </si>
  <si>
    <t>AtkDef</t>
  </si>
  <si>
    <t>Weapon2DropRateID</t>
  </si>
  <si>
    <t>Weapon3DropRateID</t>
  </si>
  <si>
    <t>Weapon4DropRateID</t>
  </si>
  <si>
    <t>드롭 유형</t>
  </si>
  <si>
    <t>무기1_ID</t>
  </si>
  <si>
    <t>무기1_기초 드롭확률</t>
  </si>
  <si>
    <t>무기2_ID</t>
  </si>
  <si>
    <t>무기2_기초 드롭확률</t>
  </si>
  <si>
    <t>무기3_ID</t>
  </si>
  <si>
    <t>무기3_기초 드롭확률</t>
  </si>
  <si>
    <t>무기4_ID</t>
  </si>
  <si>
    <t>무기4_기초 드롭확률</t>
  </si>
  <si>
    <t>갑옷ID</t>
  </si>
  <si>
    <t>갑옷 기초 드롭확률</t>
  </si>
  <si>
    <t>장화ID</t>
  </si>
  <si>
    <t>장화 기초 드롭확률</t>
  </si>
  <si>
    <t>반지ID</t>
  </si>
  <si>
    <t>반지 기초 드랍확률</t>
  </si>
  <si>
    <t>Random</t>
  </si>
  <si>
    <t>Fixed</t>
  </si>
  <si>
    <t>N001</t>
  </si>
  <si>
    <t>N005</t>
  </si>
  <si>
    <t>N006</t>
  </si>
  <si>
    <t>N002</t>
  </si>
  <si>
    <t>N003</t>
  </si>
  <si>
    <t>N004</t>
  </si>
  <si>
    <t>N007</t>
  </si>
  <si>
    <t>N008</t>
  </si>
  <si>
    <t>N012</t>
  </si>
  <si>
    <t>N013</t>
  </si>
  <si>
    <t>N009</t>
  </si>
  <si>
    <t>N010</t>
  </si>
  <si>
    <t>N011</t>
  </si>
  <si>
    <t>N014</t>
  </si>
  <si>
    <t>N015</t>
  </si>
  <si>
    <t>N016</t>
  </si>
  <si>
    <t>N017</t>
  </si>
  <si>
    <t>N018</t>
  </si>
  <si>
    <t>N019</t>
  </si>
  <si>
    <t>N020</t>
  </si>
  <si>
    <t>N021</t>
  </si>
  <si>
    <t>N022</t>
  </si>
  <si>
    <t>N023</t>
  </si>
  <si>
    <t>N024</t>
  </si>
  <si>
    <t>N025</t>
  </si>
  <si>
    <t>N026</t>
  </si>
  <si>
    <t>N027</t>
  </si>
  <si>
    <t>N028</t>
  </si>
  <si>
    <t>N029</t>
  </si>
  <si>
    <t>N030</t>
  </si>
  <si>
    <t>N031</t>
  </si>
  <si>
    <t>N032</t>
  </si>
  <si>
    <t>N033</t>
  </si>
  <si>
    <t>N034</t>
  </si>
  <si>
    <t>N035</t>
  </si>
  <si>
    <t>N036</t>
  </si>
  <si>
    <t>N037</t>
  </si>
  <si>
    <t>N038</t>
  </si>
  <si>
    <t>N039</t>
  </si>
  <si>
    <t>N040</t>
  </si>
  <si>
    <t>N041</t>
  </si>
  <si>
    <t>N042</t>
  </si>
  <si>
    <t>N043</t>
  </si>
  <si>
    <t>N044</t>
  </si>
  <si>
    <t>N045</t>
  </si>
  <si>
    <t>N046</t>
  </si>
  <si>
    <t>N047</t>
  </si>
  <si>
    <t>N048</t>
  </si>
  <si>
    <t>B001</t>
  </si>
  <si>
    <t>B002</t>
  </si>
  <si>
    <t>B003</t>
  </si>
  <si>
    <t>B004</t>
  </si>
  <si>
    <t>B005</t>
  </si>
  <si>
    <t>B006</t>
  </si>
  <si>
    <t>B007</t>
  </si>
  <si>
    <t>F001</t>
  </si>
  <si>
    <t>F002</t>
  </si>
  <si>
    <t>F003</t>
  </si>
  <si>
    <t>F004</t>
  </si>
  <si>
    <t>F005</t>
  </si>
  <si>
    <t>F006</t>
  </si>
  <si>
    <t>F007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</si>
</sst>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Aptos Narrow"/>
      <scheme val="minor"/>
    </font>
    <font>
      <color rgb="FFFFFFFF"/>
      <name val="Arial"/>
    </font>
    <font>
      <sz val="11.0"/>
      <color theme="0"/>
      <name val="Pretendard"/>
    </font>
    <font>
      <sz val="11.0"/>
      <color rgb="FFFFFFFF"/>
      <name val="Arial"/>
    </font>
    <font>
      <sz val="11.0"/>
      <color theme="1"/>
      <name val="Pretendard"/>
    </font>
    <font>
      <sz val="11.0"/>
      <color theme="1"/>
      <name val="Malgun Gothic"/>
    </font>
    <font>
      <sz val="11.0"/>
      <color theme="1"/>
      <name val="Arial"/>
    </font>
    <font>
      <sz val="11.0"/>
      <color rgb="FFC00000"/>
      <name val="Pretendard"/>
    </font>
    <font>
      <color theme="1"/>
      <name val="Aptos Narrow"/>
    </font>
    <font>
      <color theme="1"/>
      <name val="Arial"/>
    </font>
    <font>
      <sz val="11.0"/>
      <color rgb="FF000000"/>
      <name val="&quot;Malgun Gothic&quot;"/>
    </font>
    <font>
      <sz val="11.0"/>
      <color rgb="FF000000"/>
      <name val="&quot;맑은 고딕&quot;"/>
    </font>
    <font>
      <b/>
      <sz val="11.0"/>
      <color theme="1"/>
      <name val="Pretendard"/>
    </font>
    <font>
      <b/>
      <sz val="11.0"/>
      <color theme="1"/>
      <name val="Arial"/>
    </font>
    <font>
      <sz val="9.0"/>
      <color rgb="FF333333"/>
      <name val="Arial"/>
    </font>
  </fonts>
  <fills count="8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3F3F3F"/>
        <bgColor rgb="FF3F3F3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center"/>
    </xf>
    <xf borderId="1" fillId="0" fontId="4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vertical="center"/>
    </xf>
    <xf borderId="1" fillId="0" fontId="6" numFmtId="0" xfId="0" applyAlignment="1" applyBorder="1" applyFont="1">
      <alignment vertical="center"/>
    </xf>
    <xf borderId="1" fillId="0" fontId="6" numFmtId="0" xfId="0" applyAlignment="1" applyBorder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1" fillId="0" fontId="8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1" fillId="0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0" fillId="0" fontId="8" numFmtId="0" xfId="0" applyAlignment="1" applyFont="1">
      <alignment horizontal="left" readingOrder="0" shrinkToFit="0" vertical="center" wrapText="0"/>
    </xf>
    <xf borderId="1" fillId="4" fontId="4" numFmtId="0" xfId="0" applyAlignment="1" applyBorder="1" applyFill="1" applyFont="1">
      <alignment shrinkToFit="0" vertical="center" wrapText="0"/>
    </xf>
    <xf borderId="1" fillId="4" fontId="6" numFmtId="0" xfId="0" applyAlignment="1" applyBorder="1" applyFont="1">
      <alignment shrinkToFit="0" vertical="center" wrapText="0"/>
    </xf>
    <xf borderId="1" fillId="4" fontId="6" numFmtId="1" xfId="0" applyAlignment="1" applyBorder="1" applyFont="1" applyNumberFormat="1">
      <alignment shrinkToFit="0" vertical="center" wrapText="0"/>
    </xf>
    <xf borderId="1" fillId="5" fontId="9" numFmtId="0" xfId="0" applyAlignment="1" applyBorder="1" applyFill="1" applyFont="1">
      <alignment shrinkToFit="0" vertical="center" wrapText="0"/>
    </xf>
    <xf borderId="1" fillId="5" fontId="5" numFmtId="0" xfId="0" applyAlignment="1" applyBorder="1" applyFont="1">
      <alignment shrinkToFit="0" vertical="center" wrapText="0"/>
    </xf>
    <xf borderId="1" fillId="0" fontId="8" numFmtId="0" xfId="0" applyAlignment="1" applyBorder="1" applyFont="1">
      <alignment shrinkToFit="0" vertical="center" wrapText="0"/>
    </xf>
    <xf borderId="1" fillId="5" fontId="10" numFmtId="0" xfId="0" applyAlignment="1" applyBorder="1" applyFont="1">
      <alignment horizontal="right" readingOrder="0" shrinkToFit="0" vertical="center" wrapText="0"/>
    </xf>
    <xf borderId="1" fillId="5" fontId="5" numFmtId="1" xfId="0" applyAlignment="1" applyBorder="1" applyFont="1" applyNumberFormat="1">
      <alignment shrinkToFit="0" vertical="center" wrapText="0"/>
    </xf>
    <xf borderId="1" fillId="5" fontId="11" numFmtId="0" xfId="0" applyAlignment="1" applyBorder="1" applyFont="1">
      <alignment shrinkToFit="0" vertical="center" wrapText="0"/>
    </xf>
    <xf borderId="1" fillId="5" fontId="5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1" fillId="6" fontId="4" numFmtId="0" xfId="0" applyAlignment="1" applyBorder="1" applyFill="1" applyFont="1">
      <alignment shrinkToFit="0" vertical="center" wrapText="0"/>
    </xf>
    <xf borderId="1" fillId="5" fontId="8" numFmtId="0" xfId="0" applyAlignment="1" applyBorder="1" applyFont="1">
      <alignment shrinkToFit="0" vertical="center" wrapText="0"/>
    </xf>
    <xf borderId="1" fillId="7" fontId="8" numFmtId="0" xfId="0" applyAlignment="1" applyBorder="1" applyFill="1" applyFont="1">
      <alignment shrinkToFit="0" vertical="center" wrapText="0"/>
    </xf>
    <xf borderId="0" fillId="0" fontId="12" numFmtId="0" xfId="0" applyAlignment="1" applyFont="1">
      <alignment horizontal="left" readingOrder="0" shrinkToFit="0" vertical="center" wrapText="0"/>
    </xf>
    <xf borderId="0" fillId="0" fontId="13" numFmtId="49" xfId="0" applyAlignment="1" applyFont="1" applyNumberFormat="1">
      <alignment horizontal="left"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1" fillId="6" fontId="6" numFmtId="0" xfId="0" applyAlignment="1" applyBorder="1" applyFont="1">
      <alignment shrinkToFit="0" vertical="center" wrapText="0"/>
    </xf>
    <xf borderId="1" fillId="5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MonsterT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nAtkPatternT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nToPlayerSeT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ropTB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X20" displayName="표2" name="표2" id="1">
  <tableColumns count="23">
    <tableColumn name="MonsterID" id="1"/>
    <tableColumn name="Name" id="2"/>
    <tableColumn name="Level" id="3"/>
    <tableColumn name="Grade" id="4"/>
    <tableColumn name="SinCategory" id="5"/>
    <tableColumn name="HP" id="6"/>
    <tableColumn name="ATK" id="7"/>
    <tableColumn name="DEF" id="8"/>
    <tableColumn name="Lifetime" id="9"/>
    <tableColumn name="AtbSpeed" id="10"/>
    <tableColumn name="ComboRecipe1" id="11"/>
    <tableColumn name="ComboRecipe2" id="12"/>
    <tableColumn name="ComboRecipe3" id="13"/>
    <tableColumn name="Pattern1Name" id="14"/>
    <tableColumn name="Pattern1Effect" id="15"/>
    <tableColumn name="Pattern1Anim" id="16"/>
    <tableColumn name="Pattern2Name" id="17"/>
    <tableColumn name="Pattern2Effect" id="18"/>
    <tableColumn name="Pattern2Anim" id="19"/>
    <tableColumn name="Pattern3Name" id="20"/>
    <tableColumn name="Pattern3Effect" id="21"/>
    <tableColumn name="Pattern3Anim" id="22"/>
    <tableColumn name="DropTableID" id="23"/>
  </tableColumns>
  <tableStyleInfo name="MonsterTB-style" showColumnStripes="0" showFirstColumn="1" showLastColumn="1" showRowStripes="1"/>
</table>
</file>

<file path=xl/tables/table2.xml><?xml version="1.0" encoding="utf-8"?>
<table xmlns="http://schemas.openxmlformats.org/spreadsheetml/2006/main" ref="B2:G14" displayName="표1" name="표1" id="2">
  <tableColumns count="6">
    <tableColumn name="PatternID" id="1"/>
    <tableColumn name="PatternName" id="2"/>
    <tableColumn name="DamageRate" id="3"/>
    <tableColumn name="IgnoreDef" id="4"/>
    <tableColumn name="AbsorbRate" id="5"/>
    <tableColumn name="Debuff_ID" id="6"/>
  </tableColumns>
  <tableStyleInfo name="MonAtkPatternTB-style" showColumnStripes="0" showFirstColumn="1" showLastColumn="1" showRowStripes="1"/>
</table>
</file>

<file path=xl/tables/table3.xml><?xml version="1.0" encoding="utf-8"?>
<table xmlns="http://schemas.openxmlformats.org/spreadsheetml/2006/main" ref="B2:I11" displayName="표3" name="표3" id="3">
  <tableColumns count="8">
    <tableColumn name="StatusEffect_ID" id="1"/>
    <tableColumn name="StatusName" id="2"/>
    <tableColumn name="EffectType" id="3"/>
    <tableColumn name="TargetStat" id="4"/>
    <tableColumn name="Amount" id="5"/>
    <tableColumn name="Duration" id="6"/>
    <tableColumn name="BreakOnHit" id="7"/>
    <tableColumn name="Stackable" id="8"/>
  </tableColumns>
  <tableStyleInfo name="MonToPlayerSeTB-style" showColumnStripes="0" showFirstColumn="1" showLastColumn="1" showRowStripes="1"/>
</table>
</file>

<file path=xl/tables/table4.xml><?xml version="1.0" encoding="utf-8"?>
<table xmlns="http://schemas.openxmlformats.org/spreadsheetml/2006/main" ref="B2:S20" displayName="표4" name="표4" id="4">
  <tableColumns count="18">
    <tableColumn name="DropID" id="1"/>
    <tableColumn name="DropType" id="2"/>
    <tableColumn name="WeaponID" id="3"/>
    <tableColumn name="WeaponDropRate" id="4"/>
    <tableColumn name="Weapon2ID" id="5"/>
    <tableColumn name="Weapon2DropRateID" id="6"/>
    <tableColumn name="Weapon3ID" id="7"/>
    <tableColumn name="Weapon3DropRateID" id="8"/>
    <tableColumn name="Weapon4ID" id="9"/>
    <tableColumn name="Weapon4DropRateID" id="10"/>
    <tableColumn name="ArmorID" id="11"/>
    <tableColumn name="ArmorDropRate" id="12"/>
    <tableColumn name="ShoesID" id="13"/>
    <tableColumn name="ShoesDropRate" id="14"/>
    <tableColumn name="RingID" id="15"/>
    <tableColumn name="RingDropRate" id="16"/>
    <tableColumn name="MaterialID" id="17"/>
    <tableColumn name="MaterialRate" id="18"/>
  </tableColumns>
  <tableStyleInfo name="DropTB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3.63"/>
    <col customWidth="1" min="3" max="3" width="14.38"/>
    <col customWidth="1" min="4" max="4" width="7.63"/>
    <col customWidth="1" min="5" max="5" width="66.13"/>
    <col customWidth="1" min="6" max="6" width="16.25"/>
    <col customWidth="1" min="7" max="26" width="7.63"/>
  </cols>
  <sheetData>
    <row r="1" ht="16.5" customHeight="1"/>
    <row r="2" ht="16.5" customHeight="1">
      <c r="B2" s="1" t="s">
        <v>0</v>
      </c>
    </row>
    <row r="3" ht="16.5" customHeight="1"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</row>
    <row r="4" ht="16.5" customHeight="1">
      <c r="B4" s="4" t="s">
        <v>6</v>
      </c>
      <c r="C4" s="4" t="s">
        <v>7</v>
      </c>
      <c r="D4" s="4" t="s">
        <v>8</v>
      </c>
      <c r="E4" s="5" t="s">
        <v>9</v>
      </c>
      <c r="F4" s="6"/>
    </row>
    <row r="5" ht="16.5" customHeight="1">
      <c r="B5" s="4" t="s">
        <v>10</v>
      </c>
      <c r="C5" s="4" t="s">
        <v>11</v>
      </c>
      <c r="D5" s="4" t="s">
        <v>12</v>
      </c>
      <c r="E5" s="4" t="s">
        <v>13</v>
      </c>
      <c r="F5" s="6"/>
    </row>
    <row r="6" ht="16.5" customHeight="1">
      <c r="B6" s="4" t="s">
        <v>14</v>
      </c>
      <c r="C6" s="4" t="s">
        <v>15</v>
      </c>
      <c r="D6" s="4" t="s">
        <v>8</v>
      </c>
      <c r="E6" s="4"/>
      <c r="F6" s="6"/>
    </row>
    <row r="7" ht="16.5" customHeight="1">
      <c r="B7" s="4" t="s">
        <v>16</v>
      </c>
      <c r="C7" s="4" t="s">
        <v>17</v>
      </c>
      <c r="D7" s="4" t="s">
        <v>18</v>
      </c>
      <c r="E7" s="5" t="s">
        <v>19</v>
      </c>
      <c r="F7" s="6"/>
    </row>
    <row r="8" ht="16.5" customHeight="1">
      <c r="B8" s="7" t="s">
        <v>20</v>
      </c>
      <c r="C8" s="7" t="s">
        <v>21</v>
      </c>
      <c r="D8" s="7" t="s">
        <v>18</v>
      </c>
      <c r="E8" s="7" t="s">
        <v>22</v>
      </c>
      <c r="F8" s="6"/>
    </row>
    <row r="9" ht="16.5" customHeight="1">
      <c r="B9" s="4" t="s">
        <v>23</v>
      </c>
      <c r="C9" s="4" t="s">
        <v>24</v>
      </c>
      <c r="D9" s="4" t="s">
        <v>8</v>
      </c>
      <c r="E9" s="4" t="s">
        <v>25</v>
      </c>
      <c r="F9" s="6"/>
    </row>
    <row r="10" ht="16.5" customHeight="1">
      <c r="B10" s="4" t="s">
        <v>26</v>
      </c>
      <c r="C10" s="4" t="s">
        <v>27</v>
      </c>
      <c r="D10" s="4" t="s">
        <v>8</v>
      </c>
      <c r="E10" s="4" t="s">
        <v>28</v>
      </c>
      <c r="F10" s="6"/>
    </row>
    <row r="11" ht="16.5" customHeight="1">
      <c r="B11" s="4" t="s">
        <v>29</v>
      </c>
      <c r="C11" s="4" t="s">
        <v>30</v>
      </c>
      <c r="D11" s="4" t="s">
        <v>8</v>
      </c>
      <c r="E11" s="4" t="s">
        <v>31</v>
      </c>
      <c r="F11" s="6"/>
    </row>
    <row r="12" ht="16.5" customHeight="1">
      <c r="B12" s="4" t="s">
        <v>32</v>
      </c>
      <c r="C12" s="4" t="s">
        <v>33</v>
      </c>
      <c r="D12" s="4" t="s">
        <v>8</v>
      </c>
      <c r="E12" s="4" t="s">
        <v>34</v>
      </c>
      <c r="F12" s="6"/>
    </row>
    <row r="13" ht="16.5" customHeight="1">
      <c r="B13" s="4" t="s">
        <v>35</v>
      </c>
      <c r="C13" s="4" t="s">
        <v>36</v>
      </c>
      <c r="D13" s="4" t="s">
        <v>37</v>
      </c>
      <c r="E13" s="8" t="s">
        <v>38</v>
      </c>
      <c r="F13" s="6"/>
    </row>
    <row r="14" ht="16.5" customHeight="1">
      <c r="B14" s="4" t="s">
        <v>39</v>
      </c>
      <c r="C14" s="4" t="s">
        <v>40</v>
      </c>
      <c r="D14" s="4" t="s">
        <v>8</v>
      </c>
      <c r="E14" s="5" t="s">
        <v>41</v>
      </c>
      <c r="F14" s="6"/>
    </row>
    <row r="15" ht="16.5" customHeight="1">
      <c r="B15" s="4" t="s">
        <v>42</v>
      </c>
      <c r="C15" s="4" t="s">
        <v>43</v>
      </c>
      <c r="D15" s="4" t="s">
        <v>8</v>
      </c>
      <c r="E15" s="5" t="s">
        <v>41</v>
      </c>
      <c r="F15" s="6"/>
    </row>
    <row r="16" ht="16.5" customHeight="1">
      <c r="B16" s="4" t="s">
        <v>44</v>
      </c>
      <c r="C16" s="4" t="s">
        <v>45</v>
      </c>
      <c r="D16" s="4" t="s">
        <v>8</v>
      </c>
      <c r="E16" s="5" t="s">
        <v>41</v>
      </c>
      <c r="F16" s="6"/>
    </row>
    <row r="17" ht="16.5" customHeight="1">
      <c r="B17" s="4" t="s">
        <v>46</v>
      </c>
      <c r="C17" s="4" t="s">
        <v>47</v>
      </c>
      <c r="D17" s="4" t="s">
        <v>12</v>
      </c>
      <c r="E17" s="4" t="s">
        <v>48</v>
      </c>
      <c r="F17" s="6"/>
    </row>
    <row r="18" ht="16.5" customHeight="1">
      <c r="B18" s="4" t="s">
        <v>49</v>
      </c>
      <c r="C18" s="4" t="s">
        <v>50</v>
      </c>
      <c r="D18" s="4" t="s">
        <v>12</v>
      </c>
      <c r="E18" s="4" t="s">
        <v>51</v>
      </c>
      <c r="F18" s="6" t="s">
        <v>52</v>
      </c>
    </row>
    <row r="19" ht="16.5" customHeight="1">
      <c r="B19" s="4" t="s">
        <v>53</v>
      </c>
      <c r="C19" s="4" t="s">
        <v>54</v>
      </c>
      <c r="D19" s="4" t="s">
        <v>12</v>
      </c>
      <c r="E19" s="4" t="s">
        <v>55</v>
      </c>
      <c r="F19" s="6"/>
    </row>
    <row r="20" ht="16.5" customHeight="1">
      <c r="B20" s="4" t="s">
        <v>56</v>
      </c>
      <c r="C20" s="4" t="s">
        <v>57</v>
      </c>
      <c r="D20" s="4" t="s">
        <v>12</v>
      </c>
      <c r="E20" s="4" t="s">
        <v>58</v>
      </c>
      <c r="F20" s="6"/>
    </row>
    <row r="21" ht="16.5" customHeight="1">
      <c r="B21" s="4" t="s">
        <v>59</v>
      </c>
      <c r="C21" s="4" t="s">
        <v>60</v>
      </c>
      <c r="D21" s="4" t="s">
        <v>12</v>
      </c>
      <c r="E21" s="4" t="s">
        <v>61</v>
      </c>
      <c r="F21" s="6" t="s">
        <v>52</v>
      </c>
    </row>
    <row r="22" ht="16.5" customHeight="1">
      <c r="B22" s="4" t="s">
        <v>62</v>
      </c>
      <c r="C22" s="4" t="s">
        <v>63</v>
      </c>
      <c r="D22" s="4" t="s">
        <v>12</v>
      </c>
      <c r="E22" s="4" t="s">
        <v>64</v>
      </c>
      <c r="F22" s="6"/>
    </row>
    <row r="23" ht="16.5" customHeight="1">
      <c r="B23" s="4" t="s">
        <v>65</v>
      </c>
      <c r="C23" s="4" t="s">
        <v>66</v>
      </c>
      <c r="D23" s="4" t="s">
        <v>12</v>
      </c>
      <c r="E23" s="4" t="s">
        <v>58</v>
      </c>
      <c r="F23" s="6"/>
    </row>
    <row r="24" ht="16.5" customHeight="1">
      <c r="B24" s="4" t="s">
        <v>67</v>
      </c>
      <c r="C24" s="4" t="s">
        <v>68</v>
      </c>
      <c r="D24" s="4" t="s">
        <v>12</v>
      </c>
      <c r="E24" s="4" t="s">
        <v>61</v>
      </c>
      <c r="F24" s="6" t="s">
        <v>52</v>
      </c>
    </row>
    <row r="25" ht="16.5" customHeight="1">
      <c r="B25" s="4" t="s">
        <v>69</v>
      </c>
      <c r="C25" s="4" t="s">
        <v>70</v>
      </c>
      <c r="D25" s="4" t="s">
        <v>12</v>
      </c>
      <c r="E25" s="4" t="s">
        <v>64</v>
      </c>
      <c r="F25" s="6"/>
    </row>
    <row r="26" ht="16.5" customHeight="1">
      <c r="B26" s="4" t="s">
        <v>71</v>
      </c>
      <c r="C26" s="4" t="s">
        <v>72</v>
      </c>
      <c r="D26" s="4" t="s">
        <v>8</v>
      </c>
      <c r="E26" s="4" t="s">
        <v>73</v>
      </c>
      <c r="F26" s="4" t="s">
        <v>74</v>
      </c>
    </row>
    <row r="27" ht="16.5" customHeight="1"/>
    <row r="28" ht="16.5" customHeight="1"/>
    <row r="29" ht="16.5" customHeight="1">
      <c r="B29" s="1" t="s">
        <v>52</v>
      </c>
    </row>
    <row r="30" ht="16.5" customHeight="1">
      <c r="B30" s="2" t="s">
        <v>1</v>
      </c>
      <c r="C30" s="2" t="s">
        <v>75</v>
      </c>
      <c r="D30" s="2" t="s">
        <v>3</v>
      </c>
      <c r="E30" s="2" t="s">
        <v>4</v>
      </c>
      <c r="F30" s="2" t="s">
        <v>5</v>
      </c>
    </row>
    <row r="31" ht="16.5" customHeight="1">
      <c r="B31" s="4" t="s">
        <v>76</v>
      </c>
      <c r="C31" s="4" t="s">
        <v>77</v>
      </c>
      <c r="D31" s="4" t="s">
        <v>12</v>
      </c>
      <c r="E31" s="5" t="s">
        <v>78</v>
      </c>
      <c r="F31" s="4"/>
    </row>
    <row r="32" ht="16.5" customHeight="1">
      <c r="B32" s="4" t="s">
        <v>79</v>
      </c>
      <c r="C32" s="4" t="s">
        <v>80</v>
      </c>
      <c r="D32" s="4" t="s">
        <v>12</v>
      </c>
      <c r="E32" s="5" t="s">
        <v>81</v>
      </c>
      <c r="F32" s="4"/>
    </row>
    <row r="33" ht="16.5" customHeight="1">
      <c r="B33" s="4" t="s">
        <v>82</v>
      </c>
      <c r="C33" s="4" t="s">
        <v>83</v>
      </c>
      <c r="D33" s="4" t="s">
        <v>37</v>
      </c>
      <c r="E33" s="4" t="s">
        <v>84</v>
      </c>
      <c r="F33" s="4"/>
    </row>
    <row r="34" ht="16.5" customHeight="1">
      <c r="B34" s="4" t="s">
        <v>85</v>
      </c>
      <c r="C34" s="4" t="s">
        <v>86</v>
      </c>
      <c r="D34" s="4" t="s">
        <v>87</v>
      </c>
      <c r="E34" s="4" t="s">
        <v>88</v>
      </c>
      <c r="F34" s="4"/>
    </row>
    <row r="35" ht="16.5" customHeight="1">
      <c r="B35" s="4" t="s">
        <v>89</v>
      </c>
      <c r="C35" s="4" t="s">
        <v>90</v>
      </c>
      <c r="D35" s="4" t="s">
        <v>37</v>
      </c>
      <c r="E35" s="4" t="s">
        <v>91</v>
      </c>
      <c r="F35" s="4"/>
    </row>
    <row r="36" ht="16.5" customHeight="1">
      <c r="B36" s="7" t="s">
        <v>92</v>
      </c>
      <c r="C36" s="4" t="s">
        <v>93</v>
      </c>
      <c r="D36" s="4" t="s">
        <v>18</v>
      </c>
      <c r="E36" s="7" t="s">
        <v>94</v>
      </c>
      <c r="F36" s="7" t="s">
        <v>95</v>
      </c>
    </row>
    <row r="37" ht="16.5" customHeight="1">
      <c r="E37" s="9"/>
    </row>
    <row r="38" ht="16.5" customHeight="1"/>
    <row r="39" ht="16.5" customHeight="1">
      <c r="B39" s="1" t="s">
        <v>95</v>
      </c>
    </row>
    <row r="40" ht="16.5" customHeight="1">
      <c r="B40" s="2" t="s">
        <v>1</v>
      </c>
      <c r="C40" s="2" t="s">
        <v>2</v>
      </c>
      <c r="D40" s="2" t="s">
        <v>3</v>
      </c>
      <c r="E40" s="2" t="s">
        <v>4</v>
      </c>
      <c r="F40" s="2" t="s">
        <v>5</v>
      </c>
    </row>
    <row r="41" ht="16.5" customHeight="1">
      <c r="B41" s="5" t="s">
        <v>92</v>
      </c>
      <c r="C41" s="5" t="s">
        <v>96</v>
      </c>
      <c r="D41" s="5" t="s">
        <v>12</v>
      </c>
      <c r="E41" s="5" t="s">
        <v>97</v>
      </c>
      <c r="F41" s="4"/>
    </row>
    <row r="42" ht="16.5" customHeight="1">
      <c r="B42" s="5" t="s">
        <v>98</v>
      </c>
      <c r="C42" s="5" t="s">
        <v>99</v>
      </c>
      <c r="D42" s="5" t="s">
        <v>12</v>
      </c>
      <c r="E42" s="5" t="s">
        <v>100</v>
      </c>
      <c r="F42" s="8"/>
    </row>
    <row r="43" ht="16.5" customHeight="1">
      <c r="B43" s="5" t="s">
        <v>101</v>
      </c>
      <c r="C43" s="5" t="s">
        <v>102</v>
      </c>
      <c r="D43" s="5" t="s">
        <v>18</v>
      </c>
      <c r="E43" s="5" t="s">
        <v>103</v>
      </c>
      <c r="F43" s="4"/>
    </row>
    <row r="44" ht="16.5" customHeight="1">
      <c r="B44" s="5" t="s">
        <v>104</v>
      </c>
      <c r="C44" s="5" t="s">
        <v>105</v>
      </c>
      <c r="D44" s="5" t="s">
        <v>18</v>
      </c>
      <c r="E44" s="5" t="s">
        <v>106</v>
      </c>
      <c r="F44" s="8"/>
    </row>
    <row r="45" ht="16.5" customHeight="1">
      <c r="B45" s="5" t="s">
        <v>107</v>
      </c>
      <c r="C45" s="5" t="s">
        <v>108</v>
      </c>
      <c r="D45" s="5" t="s">
        <v>37</v>
      </c>
      <c r="E45" s="5" t="s">
        <v>109</v>
      </c>
      <c r="F45" s="4"/>
    </row>
    <row r="46" ht="16.5" customHeight="1">
      <c r="B46" s="5" t="s">
        <v>110</v>
      </c>
      <c r="C46" s="5" t="s">
        <v>111</v>
      </c>
      <c r="D46" s="5" t="s">
        <v>8</v>
      </c>
      <c r="E46" s="5" t="s">
        <v>112</v>
      </c>
      <c r="F46" s="4"/>
    </row>
    <row r="47" ht="16.5" customHeight="1">
      <c r="B47" s="5" t="s">
        <v>113</v>
      </c>
      <c r="C47" s="5" t="s">
        <v>114</v>
      </c>
      <c r="D47" s="5" t="s">
        <v>87</v>
      </c>
      <c r="E47" s="5" t="s">
        <v>115</v>
      </c>
      <c r="F47" s="8"/>
    </row>
    <row r="48" ht="16.5" customHeight="1">
      <c r="B48" s="10" t="s">
        <v>116</v>
      </c>
      <c r="C48" s="10" t="s">
        <v>117</v>
      </c>
      <c r="D48" s="10" t="s">
        <v>87</v>
      </c>
      <c r="E48" s="10" t="s">
        <v>118</v>
      </c>
      <c r="F48" s="10"/>
    </row>
    <row r="49" ht="16.5" customHeight="1"/>
    <row r="50" ht="16.5" customHeight="1"/>
    <row r="51" ht="16.5" customHeight="1">
      <c r="B51" s="1" t="s">
        <v>74</v>
      </c>
      <c r="I51" s="11" t="s">
        <v>119</v>
      </c>
    </row>
    <row r="52" ht="16.5" customHeight="1">
      <c r="B52" s="2" t="s">
        <v>1</v>
      </c>
      <c r="C52" s="2" t="s">
        <v>2</v>
      </c>
      <c r="D52" s="2" t="s">
        <v>3</v>
      </c>
      <c r="E52" s="2" t="s">
        <v>4</v>
      </c>
      <c r="F52" s="2" t="s">
        <v>5</v>
      </c>
      <c r="I52" s="11" t="s">
        <v>120</v>
      </c>
    </row>
    <row r="53" ht="16.5" customHeight="1">
      <c r="B53" s="10" t="s">
        <v>121</v>
      </c>
      <c r="C53" s="10" t="s">
        <v>122</v>
      </c>
      <c r="D53" s="10" t="s">
        <v>8</v>
      </c>
      <c r="E53" s="10" t="s">
        <v>123</v>
      </c>
      <c r="F53" s="10"/>
      <c r="I53" s="11" t="s">
        <v>124</v>
      </c>
    </row>
    <row r="54" ht="16.5" customHeight="1">
      <c r="B54" s="10" t="s">
        <v>125</v>
      </c>
      <c r="C54" s="10" t="s">
        <v>126</v>
      </c>
      <c r="D54" s="10" t="s">
        <v>18</v>
      </c>
      <c r="E54" s="12" t="s">
        <v>127</v>
      </c>
      <c r="F54" s="10"/>
      <c r="I54" s="11" t="s">
        <v>128</v>
      </c>
    </row>
    <row r="55" ht="16.5" customHeight="1">
      <c r="B55" s="10" t="s">
        <v>129</v>
      </c>
      <c r="C55" s="10" t="s">
        <v>130</v>
      </c>
      <c r="D55" s="10" t="s">
        <v>8</v>
      </c>
      <c r="E55" s="10" t="s">
        <v>131</v>
      </c>
      <c r="F55" s="10" t="s">
        <v>132</v>
      </c>
      <c r="I55" s="11" t="s">
        <v>133</v>
      </c>
    </row>
    <row r="56" ht="16.5" customHeight="1">
      <c r="B56" s="10" t="s">
        <v>134</v>
      </c>
      <c r="C56" s="10" t="s">
        <v>135</v>
      </c>
      <c r="D56" s="10" t="s">
        <v>37</v>
      </c>
      <c r="E56" s="10" t="s">
        <v>136</v>
      </c>
      <c r="F56" s="10"/>
      <c r="I56" s="11" t="s">
        <v>137</v>
      </c>
    </row>
    <row r="57" ht="16.5" customHeight="1">
      <c r="B57" s="10" t="s">
        <v>138</v>
      </c>
      <c r="C57" s="10" t="s">
        <v>139</v>
      </c>
      <c r="D57" s="10" t="s">
        <v>8</v>
      </c>
      <c r="E57" s="10" t="s">
        <v>140</v>
      </c>
      <c r="F57" s="10" t="s">
        <v>132</v>
      </c>
    </row>
    <row r="58" ht="16.5" customHeight="1">
      <c r="B58" s="10" t="s">
        <v>141</v>
      </c>
      <c r="C58" s="10" t="s">
        <v>142</v>
      </c>
      <c r="D58" s="10" t="s">
        <v>37</v>
      </c>
      <c r="E58" s="10" t="s">
        <v>143</v>
      </c>
      <c r="F58" s="10"/>
      <c r="I58" s="11" t="s">
        <v>144</v>
      </c>
    </row>
    <row r="59" ht="16.5" customHeight="1">
      <c r="B59" s="10" t="s">
        <v>145</v>
      </c>
      <c r="C59" s="10" t="s">
        <v>146</v>
      </c>
      <c r="D59" s="10" t="s">
        <v>8</v>
      </c>
      <c r="E59" s="10" t="s">
        <v>147</v>
      </c>
      <c r="F59" s="10" t="s">
        <v>132</v>
      </c>
      <c r="I59" s="11" t="s">
        <v>148</v>
      </c>
    </row>
    <row r="60" ht="16.5" customHeight="1">
      <c r="B60" s="10" t="s">
        <v>149</v>
      </c>
      <c r="C60" s="10" t="s">
        <v>150</v>
      </c>
      <c r="D60" s="10" t="s">
        <v>37</v>
      </c>
      <c r="E60" s="10" t="s">
        <v>151</v>
      </c>
      <c r="F60" s="10"/>
      <c r="I60" s="11" t="s">
        <v>152</v>
      </c>
    </row>
    <row r="61" ht="16.5" customHeight="1">
      <c r="B61" s="10" t="s">
        <v>153</v>
      </c>
      <c r="C61" s="10" t="s">
        <v>154</v>
      </c>
      <c r="D61" s="10" t="s">
        <v>8</v>
      </c>
      <c r="E61" s="10" t="s">
        <v>155</v>
      </c>
      <c r="F61" s="10" t="s">
        <v>132</v>
      </c>
      <c r="I61" s="13" t="s">
        <v>156</v>
      </c>
    </row>
    <row r="62" ht="16.5" customHeight="1">
      <c r="B62" s="10" t="s">
        <v>157</v>
      </c>
      <c r="C62" s="10" t="s">
        <v>158</v>
      </c>
      <c r="D62" s="10" t="s">
        <v>37</v>
      </c>
      <c r="E62" s="10" t="s">
        <v>159</v>
      </c>
      <c r="F62" s="10"/>
    </row>
    <row r="63" ht="16.5" customHeight="1">
      <c r="B63" s="10" t="s">
        <v>160</v>
      </c>
      <c r="C63" s="10" t="s">
        <v>161</v>
      </c>
      <c r="D63" s="10" t="s">
        <v>8</v>
      </c>
      <c r="E63" s="10" t="s">
        <v>162</v>
      </c>
      <c r="F63" s="10" t="s">
        <v>132</v>
      </c>
    </row>
    <row r="64" ht="16.5" customHeight="1">
      <c r="B64" s="10" t="s">
        <v>163</v>
      </c>
      <c r="C64" s="10" t="s">
        <v>164</v>
      </c>
      <c r="D64" s="10" t="s">
        <v>37</v>
      </c>
      <c r="E64" s="10" t="s">
        <v>165</v>
      </c>
      <c r="F64" s="10"/>
    </row>
    <row r="65" ht="16.5" customHeight="1">
      <c r="B65" s="10" t="s">
        <v>166</v>
      </c>
      <c r="C65" s="10" t="s">
        <v>167</v>
      </c>
      <c r="D65" s="10" t="s">
        <v>8</v>
      </c>
      <c r="E65" s="10" t="s">
        <v>168</v>
      </c>
      <c r="F65" s="10" t="s">
        <v>132</v>
      </c>
    </row>
    <row r="66" ht="16.5" customHeight="1">
      <c r="B66" s="10" t="s">
        <v>169</v>
      </c>
      <c r="C66" s="10" t="s">
        <v>170</v>
      </c>
      <c r="D66" s="10" t="s">
        <v>37</v>
      </c>
      <c r="E66" s="10" t="s">
        <v>171</v>
      </c>
      <c r="F66" s="10"/>
    </row>
    <row r="67" ht="16.5" customHeight="1">
      <c r="B67" s="10" t="s">
        <v>172</v>
      </c>
      <c r="C67" s="10" t="s">
        <v>173</v>
      </c>
      <c r="D67" s="10" t="s">
        <v>8</v>
      </c>
      <c r="E67" s="10" t="s">
        <v>174</v>
      </c>
      <c r="F67" s="10" t="s">
        <v>132</v>
      </c>
    </row>
    <row r="68" ht="16.5" customHeight="1">
      <c r="B68" s="10" t="s">
        <v>175</v>
      </c>
      <c r="C68" s="10" t="s">
        <v>176</v>
      </c>
      <c r="D68" s="10" t="s">
        <v>37</v>
      </c>
      <c r="E68" s="10" t="s">
        <v>177</v>
      </c>
      <c r="F68" s="10"/>
    </row>
    <row r="69" ht="16.5" customHeight="1">
      <c r="B69" s="10" t="s">
        <v>178</v>
      </c>
      <c r="C69" s="10" t="s">
        <v>179</v>
      </c>
      <c r="D69" s="10" t="s">
        <v>8</v>
      </c>
      <c r="E69" s="10" t="s">
        <v>180</v>
      </c>
      <c r="F69" s="10" t="s">
        <v>132</v>
      </c>
    </row>
    <row r="70" ht="16.5" customHeight="1">
      <c r="B70" s="10" t="s">
        <v>181</v>
      </c>
      <c r="C70" s="10" t="s">
        <v>182</v>
      </c>
      <c r="D70" s="10" t="s">
        <v>8</v>
      </c>
      <c r="E70" s="10" t="s">
        <v>183</v>
      </c>
      <c r="F70" s="10"/>
    </row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</sheetData>
  <mergeCells count="4">
    <mergeCell ref="B2:F2"/>
    <mergeCell ref="B29:F29"/>
    <mergeCell ref="B39:F39"/>
    <mergeCell ref="B51:F5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0"/>
    <col customWidth="1" min="3" max="3" width="16.25"/>
    <col customWidth="1" min="6" max="6" width="15.38"/>
    <col customWidth="1" min="11" max="11" width="13.38"/>
    <col customWidth="1" min="12" max="14" width="18.0"/>
    <col customWidth="1" min="15" max="15" width="17.38"/>
    <col customWidth="1" min="16" max="16" width="17.25"/>
    <col customWidth="1" min="17" max="17" width="31.25"/>
    <col customWidth="1" min="18" max="18" width="17.38"/>
    <col customWidth="1" min="19" max="19" width="17.25"/>
    <col customWidth="1" min="20" max="20" width="32.88"/>
    <col customWidth="1" min="21" max="21" width="17.38"/>
    <col customWidth="1" min="22" max="22" width="17.25"/>
    <col customWidth="1" min="23" max="23" width="32.88"/>
    <col customWidth="1" min="24" max="24" width="15.5"/>
  </cols>
  <sheetData>
    <row r="2" ht="22.5" customHeight="1">
      <c r="B2" s="14" t="s">
        <v>6</v>
      </c>
      <c r="C2" s="14" t="s">
        <v>10</v>
      </c>
      <c r="D2" s="14" t="s">
        <v>14</v>
      </c>
      <c r="E2" s="14" t="s">
        <v>16</v>
      </c>
      <c r="F2" s="14" t="s">
        <v>184</v>
      </c>
      <c r="G2" s="14" t="s">
        <v>23</v>
      </c>
      <c r="H2" s="14" t="s">
        <v>26</v>
      </c>
      <c r="I2" s="14" t="s">
        <v>29</v>
      </c>
      <c r="J2" s="14" t="s">
        <v>32</v>
      </c>
      <c r="K2" s="14" t="s">
        <v>35</v>
      </c>
      <c r="L2" s="14" t="s">
        <v>39</v>
      </c>
      <c r="M2" s="14" t="s">
        <v>42</v>
      </c>
      <c r="N2" s="14" t="s">
        <v>44</v>
      </c>
      <c r="O2" s="14" t="s">
        <v>46</v>
      </c>
      <c r="P2" s="14" t="s">
        <v>49</v>
      </c>
      <c r="Q2" s="14" t="s">
        <v>53</v>
      </c>
      <c r="R2" s="14" t="s">
        <v>56</v>
      </c>
      <c r="S2" s="14" t="s">
        <v>59</v>
      </c>
      <c r="T2" s="14" t="s">
        <v>62</v>
      </c>
      <c r="U2" s="14" t="s">
        <v>65</v>
      </c>
      <c r="V2" s="14" t="s">
        <v>67</v>
      </c>
      <c r="W2" s="14" t="s">
        <v>69</v>
      </c>
      <c r="X2" s="14" t="s">
        <v>71</v>
      </c>
    </row>
    <row r="3" ht="22.5" customHeight="1">
      <c r="B3" s="15" t="s">
        <v>7</v>
      </c>
      <c r="C3" s="15" t="s">
        <v>11</v>
      </c>
      <c r="D3" s="15" t="s">
        <v>15</v>
      </c>
      <c r="E3" s="15" t="s">
        <v>17</v>
      </c>
      <c r="F3" s="16" t="s">
        <v>185</v>
      </c>
      <c r="G3" s="15" t="s">
        <v>24</v>
      </c>
      <c r="H3" s="15" t="s">
        <v>27</v>
      </c>
      <c r="I3" s="15" t="s">
        <v>30</v>
      </c>
      <c r="J3" s="15" t="s">
        <v>33</v>
      </c>
      <c r="K3" s="17" t="s">
        <v>186</v>
      </c>
      <c r="L3" s="15" t="s">
        <v>40</v>
      </c>
      <c r="M3" s="15" t="s">
        <v>43</v>
      </c>
      <c r="N3" s="15" t="s">
        <v>45</v>
      </c>
      <c r="O3" s="15" t="s">
        <v>47</v>
      </c>
      <c r="P3" s="15" t="s">
        <v>50</v>
      </c>
      <c r="Q3" s="15" t="s">
        <v>54</v>
      </c>
      <c r="R3" s="15" t="s">
        <v>57</v>
      </c>
      <c r="S3" s="15" t="s">
        <v>60</v>
      </c>
      <c r="T3" s="15" t="s">
        <v>63</v>
      </c>
      <c r="U3" s="15" t="s">
        <v>66</v>
      </c>
      <c r="V3" s="15" t="s">
        <v>68</v>
      </c>
      <c r="W3" s="15" t="s">
        <v>70</v>
      </c>
      <c r="X3" s="15" t="s">
        <v>72</v>
      </c>
    </row>
    <row r="4" ht="22.5" customHeight="1">
      <c r="B4" s="15" t="s">
        <v>8</v>
      </c>
      <c r="C4" s="15" t="s">
        <v>12</v>
      </c>
      <c r="D4" s="15" t="s">
        <v>8</v>
      </c>
      <c r="E4" s="15" t="s">
        <v>18</v>
      </c>
      <c r="F4" s="15" t="s">
        <v>18</v>
      </c>
      <c r="G4" s="15" t="s">
        <v>8</v>
      </c>
      <c r="H4" s="15" t="s">
        <v>8</v>
      </c>
      <c r="I4" s="15" t="s">
        <v>8</v>
      </c>
      <c r="J4" s="15" t="s">
        <v>8</v>
      </c>
      <c r="K4" s="17" t="s">
        <v>8</v>
      </c>
      <c r="L4" s="15" t="s">
        <v>8</v>
      </c>
      <c r="M4" s="15" t="s">
        <v>8</v>
      </c>
      <c r="N4" s="15" t="s">
        <v>8</v>
      </c>
      <c r="O4" s="15" t="s">
        <v>12</v>
      </c>
      <c r="P4" s="15" t="s">
        <v>12</v>
      </c>
      <c r="Q4" s="15" t="s">
        <v>12</v>
      </c>
      <c r="R4" s="15" t="s">
        <v>12</v>
      </c>
      <c r="S4" s="15" t="s">
        <v>12</v>
      </c>
      <c r="T4" s="15" t="s">
        <v>12</v>
      </c>
      <c r="U4" s="15" t="s">
        <v>12</v>
      </c>
      <c r="V4" s="15" t="s">
        <v>12</v>
      </c>
      <c r="W4" s="15" t="s">
        <v>12</v>
      </c>
      <c r="X4" s="15" t="s">
        <v>8</v>
      </c>
    </row>
    <row r="5" ht="22.5" customHeight="1">
      <c r="B5" s="18">
        <v>10001.0</v>
      </c>
      <c r="C5" s="18" t="s">
        <v>187</v>
      </c>
      <c r="D5" s="19">
        <v>1.0</v>
      </c>
      <c r="E5" s="18" t="s">
        <v>188</v>
      </c>
      <c r="F5" s="18" t="s">
        <v>189</v>
      </c>
      <c r="G5" s="20">
        <v>100.0</v>
      </c>
      <c r="H5" s="20">
        <v>15.0</v>
      </c>
      <c r="I5" s="20">
        <v>4.0</v>
      </c>
      <c r="J5" s="21">
        <f t="shared" ref="J5:J18" si="1">IF($E5="Normal",RANDBETWEEN(300,400),RANDBETWEEN(900,1100))</f>
        <v>375</v>
      </c>
      <c r="K5" s="22">
        <v>0.0</v>
      </c>
      <c r="L5" s="19">
        <v>2123.0</v>
      </c>
      <c r="M5" s="19">
        <v>3321.0</v>
      </c>
      <c r="N5" s="19">
        <v>2312.0</v>
      </c>
      <c r="O5" s="23" t="s">
        <v>190</v>
      </c>
      <c r="P5" s="23" t="s">
        <v>191</v>
      </c>
      <c r="Q5" s="23" t="s">
        <v>192</v>
      </c>
      <c r="R5" s="23" t="s">
        <v>193</v>
      </c>
      <c r="S5" s="23" t="s">
        <v>194</v>
      </c>
      <c r="T5" s="23" t="s">
        <v>195</v>
      </c>
      <c r="U5" s="23" t="s">
        <v>196</v>
      </c>
      <c r="V5" s="23" t="s">
        <v>197</v>
      </c>
      <c r="W5" s="23" t="s">
        <v>198</v>
      </c>
      <c r="X5" s="18">
        <v>10001.0</v>
      </c>
    </row>
    <row r="6" ht="22.5" customHeight="1">
      <c r="B6" s="18">
        <v>11002.0</v>
      </c>
      <c r="C6" s="18" t="s">
        <v>199</v>
      </c>
      <c r="D6" s="19">
        <v>1.0</v>
      </c>
      <c r="E6" s="18" t="s">
        <v>200</v>
      </c>
      <c r="F6" s="18" t="s">
        <v>189</v>
      </c>
      <c r="G6" s="20">
        <v>320.0</v>
      </c>
      <c r="H6" s="20">
        <v>26.0</v>
      </c>
      <c r="I6" s="20">
        <v>22.0</v>
      </c>
      <c r="J6" s="21">
        <f t="shared" si="1"/>
        <v>926</v>
      </c>
      <c r="K6" s="22">
        <v>100.0</v>
      </c>
      <c r="L6" s="19">
        <v>3221.0</v>
      </c>
      <c r="M6" s="19">
        <v>1211.0</v>
      </c>
      <c r="N6" s="19">
        <v>333.0</v>
      </c>
      <c r="O6" s="23" t="s">
        <v>201</v>
      </c>
      <c r="P6" s="23" t="s">
        <v>191</v>
      </c>
      <c r="Q6" s="23" t="s">
        <v>202</v>
      </c>
      <c r="R6" s="23" t="s">
        <v>203</v>
      </c>
      <c r="S6" s="23" t="s">
        <v>204</v>
      </c>
      <c r="T6" s="23" t="s">
        <v>205</v>
      </c>
      <c r="U6" s="23" t="s">
        <v>206</v>
      </c>
      <c r="V6" s="23" t="s">
        <v>207</v>
      </c>
      <c r="W6" s="23" t="s">
        <v>208</v>
      </c>
      <c r="X6" s="18">
        <v>11002.0</v>
      </c>
    </row>
    <row r="7" ht="22.5" customHeight="1">
      <c r="B7" s="18">
        <v>20003.0</v>
      </c>
      <c r="C7" s="18" t="s">
        <v>209</v>
      </c>
      <c r="D7" s="19">
        <v>1.0</v>
      </c>
      <c r="E7" s="18" t="s">
        <v>188</v>
      </c>
      <c r="F7" s="18" t="s">
        <v>210</v>
      </c>
      <c r="G7" s="20">
        <v>130.0</v>
      </c>
      <c r="H7" s="20">
        <v>10.0</v>
      </c>
      <c r="I7" s="20">
        <v>9.0</v>
      </c>
      <c r="J7" s="21">
        <f t="shared" si="1"/>
        <v>369</v>
      </c>
      <c r="K7" s="22">
        <v>0.0</v>
      </c>
      <c r="L7" s="19">
        <v>1223.0</v>
      </c>
      <c r="M7" s="19">
        <v>1123.0</v>
      </c>
      <c r="N7" s="19">
        <v>132.0</v>
      </c>
      <c r="O7" s="23" t="s">
        <v>211</v>
      </c>
      <c r="P7" s="23" t="s">
        <v>191</v>
      </c>
      <c r="Q7" s="23" t="s">
        <v>212</v>
      </c>
      <c r="R7" s="23" t="s">
        <v>213</v>
      </c>
      <c r="S7" s="23" t="s">
        <v>194</v>
      </c>
      <c r="T7" s="23" t="s">
        <v>214</v>
      </c>
      <c r="U7" s="23" t="s">
        <v>215</v>
      </c>
      <c r="V7" s="23" t="s">
        <v>216</v>
      </c>
      <c r="W7" s="23" t="s">
        <v>217</v>
      </c>
      <c r="X7" s="18">
        <v>20003.0</v>
      </c>
    </row>
    <row r="8" ht="22.5" customHeight="1">
      <c r="B8" s="18">
        <v>21004.0</v>
      </c>
      <c r="C8" s="18" t="s">
        <v>218</v>
      </c>
      <c r="D8" s="19">
        <v>1.0</v>
      </c>
      <c r="E8" s="18" t="s">
        <v>200</v>
      </c>
      <c r="F8" s="18" t="s">
        <v>210</v>
      </c>
      <c r="G8" s="20">
        <v>260.0</v>
      </c>
      <c r="H8" s="20">
        <v>30.0</v>
      </c>
      <c r="I8" s="20">
        <v>14.0</v>
      </c>
      <c r="J8" s="21">
        <f t="shared" si="1"/>
        <v>998</v>
      </c>
      <c r="K8" s="22">
        <v>100.0</v>
      </c>
      <c r="L8" s="19">
        <v>113.0</v>
      </c>
      <c r="M8" s="19">
        <v>1311.0</v>
      </c>
      <c r="N8" s="19">
        <v>3332.0</v>
      </c>
      <c r="O8" s="23" t="s">
        <v>219</v>
      </c>
      <c r="P8" s="23" t="s">
        <v>191</v>
      </c>
      <c r="Q8" s="23" t="s">
        <v>220</v>
      </c>
      <c r="R8" s="23" t="s">
        <v>221</v>
      </c>
      <c r="S8" s="23" t="s">
        <v>204</v>
      </c>
      <c r="T8" s="23" t="s">
        <v>222</v>
      </c>
      <c r="U8" s="23" t="s">
        <v>223</v>
      </c>
      <c r="V8" s="23" t="s">
        <v>197</v>
      </c>
      <c r="W8" s="23" t="s">
        <v>224</v>
      </c>
      <c r="X8" s="18">
        <v>21004.0</v>
      </c>
    </row>
    <row r="9" ht="22.5" customHeight="1">
      <c r="B9" s="18">
        <v>30005.0</v>
      </c>
      <c r="C9" s="18" t="s">
        <v>225</v>
      </c>
      <c r="D9" s="19">
        <v>1.0</v>
      </c>
      <c r="E9" s="18" t="s">
        <v>188</v>
      </c>
      <c r="F9" s="18" t="s">
        <v>226</v>
      </c>
      <c r="G9" s="20">
        <v>80.0</v>
      </c>
      <c r="H9" s="20">
        <v>13.0</v>
      </c>
      <c r="I9" s="20">
        <v>3.0</v>
      </c>
      <c r="J9" s="21">
        <f t="shared" si="1"/>
        <v>355</v>
      </c>
      <c r="K9" s="22">
        <v>0.0</v>
      </c>
      <c r="L9" s="19">
        <v>2321.0</v>
      </c>
      <c r="M9" s="19">
        <v>2332.0</v>
      </c>
      <c r="N9" s="19">
        <v>3231.0</v>
      </c>
      <c r="O9" s="23" t="s">
        <v>227</v>
      </c>
      <c r="P9" s="23" t="s">
        <v>191</v>
      </c>
      <c r="Q9" s="23" t="s">
        <v>228</v>
      </c>
      <c r="R9" s="23" t="s">
        <v>229</v>
      </c>
      <c r="S9" s="23" t="s">
        <v>204</v>
      </c>
      <c r="T9" s="23" t="s">
        <v>230</v>
      </c>
      <c r="U9" s="23" t="s">
        <v>231</v>
      </c>
      <c r="V9" s="23" t="s">
        <v>232</v>
      </c>
      <c r="W9" s="23" t="s">
        <v>233</v>
      </c>
      <c r="X9" s="18">
        <v>30005.0</v>
      </c>
    </row>
    <row r="10" ht="22.5" customHeight="1">
      <c r="B10" s="18">
        <v>31006.0</v>
      </c>
      <c r="C10" s="18" t="s">
        <v>234</v>
      </c>
      <c r="D10" s="19">
        <v>1.0</v>
      </c>
      <c r="E10" s="18" t="s">
        <v>200</v>
      </c>
      <c r="F10" s="18" t="s">
        <v>226</v>
      </c>
      <c r="G10" s="20">
        <v>230.0</v>
      </c>
      <c r="H10" s="20">
        <v>38.0</v>
      </c>
      <c r="I10" s="20">
        <v>9.0</v>
      </c>
      <c r="J10" s="21">
        <f t="shared" si="1"/>
        <v>1048</v>
      </c>
      <c r="K10" s="22">
        <v>100.0</v>
      </c>
      <c r="L10" s="19">
        <v>1332.0</v>
      </c>
      <c r="M10" s="19">
        <v>332.0</v>
      </c>
      <c r="N10" s="19">
        <v>3133.0</v>
      </c>
      <c r="O10" s="23" t="s">
        <v>235</v>
      </c>
      <c r="P10" s="23" t="s">
        <v>191</v>
      </c>
      <c r="Q10" s="23" t="s">
        <v>236</v>
      </c>
      <c r="R10" s="23" t="s">
        <v>237</v>
      </c>
      <c r="S10" s="23" t="s">
        <v>194</v>
      </c>
      <c r="T10" s="23" t="s">
        <v>238</v>
      </c>
      <c r="U10" s="23" t="s">
        <v>239</v>
      </c>
      <c r="V10" s="23" t="s">
        <v>240</v>
      </c>
      <c r="W10" s="23" t="s">
        <v>241</v>
      </c>
      <c r="X10" s="18">
        <v>31006.0</v>
      </c>
    </row>
    <row r="11" ht="22.5" customHeight="1">
      <c r="B11" s="18">
        <v>40007.0</v>
      </c>
      <c r="C11" s="18" t="s">
        <v>242</v>
      </c>
      <c r="D11" s="19">
        <v>1.0</v>
      </c>
      <c r="E11" s="18" t="s">
        <v>188</v>
      </c>
      <c r="F11" s="18" t="s">
        <v>243</v>
      </c>
      <c r="G11" s="20">
        <v>90.0</v>
      </c>
      <c r="H11" s="20">
        <v>16.0</v>
      </c>
      <c r="I11" s="20">
        <v>3.0</v>
      </c>
      <c r="J11" s="21">
        <f t="shared" si="1"/>
        <v>344</v>
      </c>
      <c r="K11" s="22">
        <v>0.0</v>
      </c>
      <c r="L11" s="19">
        <v>1333.0</v>
      </c>
      <c r="M11" s="19">
        <v>321.0</v>
      </c>
      <c r="N11" s="19">
        <v>2212.0</v>
      </c>
      <c r="O11" s="23" t="s">
        <v>244</v>
      </c>
      <c r="P11" s="23" t="s">
        <v>191</v>
      </c>
      <c r="Q11" s="23" t="s">
        <v>245</v>
      </c>
      <c r="R11" s="23" t="s">
        <v>246</v>
      </c>
      <c r="S11" s="23" t="s">
        <v>194</v>
      </c>
      <c r="T11" s="23" t="s">
        <v>247</v>
      </c>
      <c r="U11" s="23" t="s">
        <v>248</v>
      </c>
      <c r="V11" s="23" t="s">
        <v>197</v>
      </c>
      <c r="W11" s="23" t="s">
        <v>249</v>
      </c>
      <c r="X11" s="18">
        <v>40007.0</v>
      </c>
    </row>
    <row r="12" ht="22.5" customHeight="1">
      <c r="B12" s="18">
        <v>41008.0</v>
      </c>
      <c r="C12" s="18" t="s">
        <v>250</v>
      </c>
      <c r="D12" s="19">
        <v>1.0</v>
      </c>
      <c r="E12" s="18" t="s">
        <v>200</v>
      </c>
      <c r="F12" s="18" t="s">
        <v>243</v>
      </c>
      <c r="G12" s="20">
        <v>240.0</v>
      </c>
      <c r="H12" s="20">
        <v>40.0</v>
      </c>
      <c r="I12" s="20">
        <v>8.0</v>
      </c>
      <c r="J12" s="21">
        <f t="shared" si="1"/>
        <v>1065</v>
      </c>
      <c r="K12" s="22">
        <v>100.0</v>
      </c>
      <c r="L12" s="19">
        <v>3222.0</v>
      </c>
      <c r="M12" s="19">
        <v>311.0</v>
      </c>
      <c r="N12" s="19">
        <v>3113.0</v>
      </c>
      <c r="O12" s="23" t="s">
        <v>251</v>
      </c>
      <c r="P12" s="23" t="s">
        <v>191</v>
      </c>
      <c r="Q12" s="23" t="s">
        <v>252</v>
      </c>
      <c r="R12" s="23" t="s">
        <v>253</v>
      </c>
      <c r="S12" s="23" t="s">
        <v>240</v>
      </c>
      <c r="T12" s="23" t="s">
        <v>254</v>
      </c>
      <c r="U12" s="23" t="s">
        <v>255</v>
      </c>
      <c r="V12" s="23" t="s">
        <v>207</v>
      </c>
      <c r="W12" s="23" t="s">
        <v>256</v>
      </c>
      <c r="X12" s="18">
        <v>41008.0</v>
      </c>
    </row>
    <row r="13" ht="22.5" customHeight="1">
      <c r="B13" s="18">
        <v>50009.0</v>
      </c>
      <c r="C13" s="18" t="s">
        <v>257</v>
      </c>
      <c r="D13" s="19">
        <v>1.0</v>
      </c>
      <c r="E13" s="18" t="s">
        <v>188</v>
      </c>
      <c r="F13" s="18" t="s">
        <v>258</v>
      </c>
      <c r="G13" s="20">
        <v>100.0</v>
      </c>
      <c r="H13" s="20">
        <v>12.0</v>
      </c>
      <c r="I13" s="20">
        <v>5.0</v>
      </c>
      <c r="J13" s="21">
        <f t="shared" si="1"/>
        <v>330</v>
      </c>
      <c r="K13" s="22">
        <v>0.0</v>
      </c>
      <c r="L13" s="19">
        <v>111.0</v>
      </c>
      <c r="M13" s="19">
        <v>3121.0</v>
      </c>
      <c r="N13" s="19">
        <v>1213.0</v>
      </c>
      <c r="O13" s="23" t="s">
        <v>259</v>
      </c>
      <c r="P13" s="23" t="s">
        <v>191</v>
      </c>
      <c r="Q13" s="23" t="s">
        <v>260</v>
      </c>
      <c r="R13" s="23" t="s">
        <v>261</v>
      </c>
      <c r="S13" s="23" t="s">
        <v>232</v>
      </c>
      <c r="T13" s="23" t="s">
        <v>262</v>
      </c>
      <c r="U13" s="23" t="s">
        <v>263</v>
      </c>
      <c r="V13" s="23" t="s">
        <v>264</v>
      </c>
      <c r="W13" s="23" t="s">
        <v>265</v>
      </c>
      <c r="X13" s="18">
        <v>50009.0</v>
      </c>
    </row>
    <row r="14" ht="22.5" customHeight="1">
      <c r="B14" s="18">
        <v>51010.0</v>
      </c>
      <c r="C14" s="18" t="s">
        <v>266</v>
      </c>
      <c r="D14" s="19">
        <v>1.0</v>
      </c>
      <c r="E14" s="18" t="s">
        <v>200</v>
      </c>
      <c r="F14" s="18" t="s">
        <v>258</v>
      </c>
      <c r="G14" s="20">
        <v>270.0</v>
      </c>
      <c r="H14" s="20">
        <v>28.0</v>
      </c>
      <c r="I14" s="20">
        <v>14.0</v>
      </c>
      <c r="J14" s="21">
        <f t="shared" si="1"/>
        <v>923</v>
      </c>
      <c r="K14" s="22">
        <v>100.0</v>
      </c>
      <c r="L14" s="19">
        <v>2311.0</v>
      </c>
      <c r="M14" s="19">
        <v>3311.0</v>
      </c>
      <c r="N14" s="19">
        <v>1221.0</v>
      </c>
      <c r="O14" s="23" t="s">
        <v>267</v>
      </c>
      <c r="P14" s="23" t="s">
        <v>191</v>
      </c>
      <c r="Q14" s="23" t="s">
        <v>268</v>
      </c>
      <c r="R14" s="23" t="s">
        <v>269</v>
      </c>
      <c r="S14" s="23" t="s">
        <v>264</v>
      </c>
      <c r="T14" s="23" t="s">
        <v>270</v>
      </c>
      <c r="U14" s="23" t="s">
        <v>271</v>
      </c>
      <c r="V14" s="23" t="s">
        <v>232</v>
      </c>
      <c r="W14" s="23" t="s">
        <v>272</v>
      </c>
      <c r="X14" s="18">
        <v>51010.0</v>
      </c>
    </row>
    <row r="15" ht="22.5" customHeight="1">
      <c r="B15" s="18">
        <v>60011.0</v>
      </c>
      <c r="C15" s="18" t="s">
        <v>273</v>
      </c>
      <c r="D15" s="19">
        <v>1.0</v>
      </c>
      <c r="E15" s="18" t="s">
        <v>188</v>
      </c>
      <c r="F15" s="18" t="s">
        <v>274</v>
      </c>
      <c r="G15" s="20">
        <v>85.0</v>
      </c>
      <c r="H15" s="20">
        <v>14.0</v>
      </c>
      <c r="I15" s="20">
        <v>4.0</v>
      </c>
      <c r="J15" s="21">
        <f t="shared" si="1"/>
        <v>336</v>
      </c>
      <c r="K15" s="22">
        <v>0.0</v>
      </c>
      <c r="L15" s="19">
        <v>2222.0</v>
      </c>
      <c r="M15" s="19">
        <v>3232.0</v>
      </c>
      <c r="N15" s="19">
        <v>3112.0</v>
      </c>
      <c r="O15" s="23" t="s">
        <v>275</v>
      </c>
      <c r="P15" s="23" t="s">
        <v>191</v>
      </c>
      <c r="Q15" s="23" t="s">
        <v>276</v>
      </c>
      <c r="R15" s="23" t="s">
        <v>277</v>
      </c>
      <c r="S15" s="23" t="s">
        <v>232</v>
      </c>
      <c r="T15" s="23" t="s">
        <v>278</v>
      </c>
      <c r="U15" s="23" t="s">
        <v>279</v>
      </c>
      <c r="V15" s="23" t="s">
        <v>197</v>
      </c>
      <c r="W15" s="23" t="s">
        <v>280</v>
      </c>
      <c r="X15" s="18">
        <v>60011.0</v>
      </c>
    </row>
    <row r="16" ht="22.5" customHeight="1">
      <c r="B16" s="18">
        <v>61012.0</v>
      </c>
      <c r="C16" s="18" t="s">
        <v>281</v>
      </c>
      <c r="D16" s="19">
        <v>1.0</v>
      </c>
      <c r="E16" s="18" t="s">
        <v>200</v>
      </c>
      <c r="F16" s="18" t="s">
        <v>274</v>
      </c>
      <c r="G16" s="20">
        <v>330.0</v>
      </c>
      <c r="H16" s="20">
        <v>25.0</v>
      </c>
      <c r="I16" s="20">
        <v>20.0</v>
      </c>
      <c r="J16" s="21">
        <f t="shared" si="1"/>
        <v>907</v>
      </c>
      <c r="K16" s="22">
        <v>100.0</v>
      </c>
      <c r="L16" s="19">
        <v>2131.0</v>
      </c>
      <c r="M16" s="19">
        <v>222.0</v>
      </c>
      <c r="N16" s="19">
        <v>1233.0</v>
      </c>
      <c r="O16" s="23" t="s">
        <v>282</v>
      </c>
      <c r="P16" s="23" t="s">
        <v>191</v>
      </c>
      <c r="Q16" s="23" t="s">
        <v>283</v>
      </c>
      <c r="R16" s="23" t="s">
        <v>284</v>
      </c>
      <c r="S16" s="23" t="s">
        <v>240</v>
      </c>
      <c r="T16" s="23" t="s">
        <v>285</v>
      </c>
      <c r="U16" s="23" t="s">
        <v>286</v>
      </c>
      <c r="V16" s="23" t="s">
        <v>216</v>
      </c>
      <c r="W16" s="23" t="s">
        <v>287</v>
      </c>
      <c r="X16" s="18">
        <v>61012.0</v>
      </c>
    </row>
    <row r="17" ht="22.5" customHeight="1">
      <c r="B17" s="18">
        <v>70013.0</v>
      </c>
      <c r="C17" s="18" t="s">
        <v>288</v>
      </c>
      <c r="D17" s="19">
        <v>1.0</v>
      </c>
      <c r="E17" s="18" t="s">
        <v>188</v>
      </c>
      <c r="F17" s="18" t="s">
        <v>289</v>
      </c>
      <c r="G17" s="20">
        <v>120.0</v>
      </c>
      <c r="H17" s="20">
        <v>10.0</v>
      </c>
      <c r="I17" s="20">
        <v>8.0</v>
      </c>
      <c r="J17" s="21">
        <f t="shared" si="1"/>
        <v>313</v>
      </c>
      <c r="K17" s="22">
        <v>0.0</v>
      </c>
      <c r="L17" s="19">
        <v>233.0</v>
      </c>
      <c r="M17" s="19">
        <v>1112.0</v>
      </c>
      <c r="N17" s="19">
        <v>12.0</v>
      </c>
      <c r="O17" s="23" t="s">
        <v>290</v>
      </c>
      <c r="P17" s="23" t="s">
        <v>191</v>
      </c>
      <c r="Q17" s="23" t="s">
        <v>291</v>
      </c>
      <c r="R17" s="23" t="s">
        <v>292</v>
      </c>
      <c r="S17" s="23" t="s">
        <v>204</v>
      </c>
      <c r="T17" s="23" t="s">
        <v>293</v>
      </c>
      <c r="U17" s="23" t="s">
        <v>294</v>
      </c>
      <c r="V17" s="23" t="s">
        <v>207</v>
      </c>
      <c r="W17" s="23" t="s">
        <v>295</v>
      </c>
      <c r="X17" s="18">
        <v>70013.0</v>
      </c>
    </row>
    <row r="18" ht="22.5" customHeight="1">
      <c r="B18" s="18">
        <v>71014.0</v>
      </c>
      <c r="C18" s="18" t="s">
        <v>296</v>
      </c>
      <c r="D18" s="19">
        <v>1.0</v>
      </c>
      <c r="E18" s="18" t="s">
        <v>200</v>
      </c>
      <c r="F18" s="18" t="s">
        <v>289</v>
      </c>
      <c r="G18" s="20">
        <v>310.0</v>
      </c>
      <c r="H18" s="20">
        <v>24.0</v>
      </c>
      <c r="I18" s="20">
        <v>22.0</v>
      </c>
      <c r="J18" s="21">
        <f t="shared" si="1"/>
        <v>1073</v>
      </c>
      <c r="K18" s="22">
        <v>100.0</v>
      </c>
      <c r="L18" s="19">
        <v>232.0</v>
      </c>
      <c r="M18" s="19">
        <v>3233.0</v>
      </c>
      <c r="N18" s="19">
        <v>1113.0</v>
      </c>
      <c r="O18" s="23" t="s">
        <v>297</v>
      </c>
      <c r="P18" s="23" t="s">
        <v>191</v>
      </c>
      <c r="Q18" s="23" t="s">
        <v>298</v>
      </c>
      <c r="R18" s="23" t="s">
        <v>299</v>
      </c>
      <c r="S18" s="23" t="s">
        <v>194</v>
      </c>
      <c r="T18" s="23" t="s">
        <v>300</v>
      </c>
      <c r="U18" s="23" t="s">
        <v>301</v>
      </c>
      <c r="V18" s="23" t="s">
        <v>197</v>
      </c>
      <c r="W18" s="23" t="s">
        <v>302</v>
      </c>
      <c r="X18" s="18">
        <v>71014.0</v>
      </c>
    </row>
    <row r="19" ht="22.5" customHeight="1">
      <c r="B19" s="18">
        <v>82015.0</v>
      </c>
      <c r="C19" s="18" t="s">
        <v>303</v>
      </c>
      <c r="D19" s="18">
        <v>30.0</v>
      </c>
      <c r="E19" s="18" t="s">
        <v>304</v>
      </c>
      <c r="F19" s="18" t="s">
        <v>305</v>
      </c>
      <c r="G19" s="19">
        <v>1310.0</v>
      </c>
      <c r="H19" s="19">
        <v>140.0</v>
      </c>
      <c r="I19" s="19">
        <v>74.0</v>
      </c>
      <c r="J19" s="24">
        <v>3000.0</v>
      </c>
      <c r="K19" s="22">
        <v>250.0</v>
      </c>
      <c r="L19" s="19">
        <v>1133.0</v>
      </c>
      <c r="M19" s="19">
        <v>1111.0</v>
      </c>
      <c r="N19" s="19">
        <v>3123.0</v>
      </c>
      <c r="O19" s="23" t="s">
        <v>306</v>
      </c>
      <c r="P19" s="23" t="s">
        <v>191</v>
      </c>
      <c r="Q19" s="23" t="s">
        <v>307</v>
      </c>
      <c r="R19" s="23" t="s">
        <v>308</v>
      </c>
      <c r="S19" s="23" t="s">
        <v>204</v>
      </c>
      <c r="T19" s="23" t="s">
        <v>309</v>
      </c>
      <c r="U19" s="23" t="s">
        <v>310</v>
      </c>
      <c r="V19" s="23" t="s">
        <v>311</v>
      </c>
      <c r="W19" s="23" t="s">
        <v>312</v>
      </c>
      <c r="X19" s="18">
        <v>82015.0</v>
      </c>
    </row>
    <row r="20" ht="22.5" customHeight="1">
      <c r="B20" s="18">
        <v>82016.0</v>
      </c>
      <c r="C20" s="18" t="s">
        <v>313</v>
      </c>
      <c r="D20" s="18">
        <v>50.0</v>
      </c>
      <c r="E20" s="18" t="s">
        <v>304</v>
      </c>
      <c r="F20" s="18" t="s">
        <v>305</v>
      </c>
      <c r="G20" s="19">
        <v>2140.0</v>
      </c>
      <c r="H20" s="19">
        <v>230.0</v>
      </c>
      <c r="I20" s="19">
        <v>122.0</v>
      </c>
      <c r="J20" s="24">
        <v>9999999.0</v>
      </c>
      <c r="K20" s="22">
        <v>250.0</v>
      </c>
      <c r="L20" s="19">
        <v>1121.0</v>
      </c>
      <c r="M20" s="19">
        <v>331.0</v>
      </c>
      <c r="N20" s="19">
        <v>122.0</v>
      </c>
      <c r="O20" s="23" t="s">
        <v>314</v>
      </c>
      <c r="P20" s="23" t="s">
        <v>191</v>
      </c>
      <c r="Q20" s="23" t="s">
        <v>315</v>
      </c>
      <c r="R20" s="23" t="s">
        <v>316</v>
      </c>
      <c r="S20" s="23" t="s">
        <v>216</v>
      </c>
      <c r="T20" s="23" t="s">
        <v>317</v>
      </c>
      <c r="U20" s="23" t="s">
        <v>318</v>
      </c>
      <c r="V20" s="23" t="s">
        <v>311</v>
      </c>
      <c r="W20" s="23" t="s">
        <v>319</v>
      </c>
      <c r="X20" s="18">
        <v>82016.0</v>
      </c>
    </row>
  </sheetData>
  <dataValidations>
    <dataValidation type="custom" allowBlank="1" showDropDown="1" sqref="K3:K20">
      <formula1>AND(ISNUMBER(K3),(NOT(OR(NOT(ISERROR(DATEVALUE(K3))), AND(ISNUMBER(K3), LEFT(CELL("format", K3))="D")))))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3.25"/>
    <col customWidth="1" min="4" max="4" width="11.0"/>
    <col customWidth="1" min="5" max="5" width="15.88"/>
    <col customWidth="1" min="6" max="6" width="15.13"/>
    <col customWidth="1" min="7" max="7" width="14.5"/>
    <col customWidth="1" min="8" max="26" width="7.63"/>
  </cols>
  <sheetData>
    <row r="1" ht="16.5" customHeight="1"/>
    <row r="2" ht="16.5" customHeight="1">
      <c r="B2" s="25" t="s">
        <v>76</v>
      </c>
      <c r="C2" s="25" t="s">
        <v>79</v>
      </c>
      <c r="D2" s="25" t="s">
        <v>82</v>
      </c>
      <c r="E2" s="25" t="s">
        <v>85</v>
      </c>
      <c r="F2" s="25" t="s">
        <v>89</v>
      </c>
      <c r="G2" s="25" t="s">
        <v>320</v>
      </c>
    </row>
    <row r="3" ht="16.5" customHeight="1">
      <c r="B3" s="26" t="s">
        <v>77</v>
      </c>
      <c r="C3" s="26" t="s">
        <v>80</v>
      </c>
      <c r="D3" s="26" t="s">
        <v>83</v>
      </c>
      <c r="E3" s="26" t="s">
        <v>86</v>
      </c>
      <c r="F3" s="26" t="s">
        <v>90</v>
      </c>
      <c r="G3" s="26" t="s">
        <v>93</v>
      </c>
    </row>
    <row r="4" ht="16.5" customHeight="1">
      <c r="B4" s="26" t="s">
        <v>12</v>
      </c>
      <c r="C4" s="26" t="s">
        <v>12</v>
      </c>
      <c r="D4" s="26" t="s">
        <v>37</v>
      </c>
      <c r="E4" s="26" t="s">
        <v>87</v>
      </c>
      <c r="F4" s="26" t="s">
        <v>37</v>
      </c>
      <c r="G4" s="26" t="s">
        <v>12</v>
      </c>
    </row>
    <row r="5" ht="16.5" customHeight="1">
      <c r="B5" s="27" t="s">
        <v>191</v>
      </c>
      <c r="C5" s="27" t="s">
        <v>321</v>
      </c>
      <c r="D5" s="27">
        <v>1.0</v>
      </c>
      <c r="E5" s="27" t="b">
        <v>0</v>
      </c>
      <c r="F5" s="27" t="s">
        <v>322</v>
      </c>
      <c r="G5" s="27" t="s">
        <v>322</v>
      </c>
    </row>
    <row r="6" ht="16.5" customHeight="1">
      <c r="B6" s="27" t="s">
        <v>194</v>
      </c>
      <c r="C6" s="27" t="s">
        <v>323</v>
      </c>
      <c r="D6" s="27">
        <v>1.3</v>
      </c>
      <c r="E6" s="27" t="b">
        <v>1</v>
      </c>
      <c r="F6" s="27" t="s">
        <v>322</v>
      </c>
      <c r="G6" s="27" t="s">
        <v>322</v>
      </c>
    </row>
    <row r="7" ht="16.5" customHeight="1">
      <c r="B7" s="27" t="s">
        <v>216</v>
      </c>
      <c r="C7" s="27" t="s">
        <v>324</v>
      </c>
      <c r="D7" s="27">
        <v>1.15</v>
      </c>
      <c r="E7" s="27" t="b">
        <v>0</v>
      </c>
      <c r="F7" s="27" t="s">
        <v>322</v>
      </c>
      <c r="G7" s="27" t="s">
        <v>322</v>
      </c>
    </row>
    <row r="8" ht="16.5" customHeight="1">
      <c r="B8" s="27" t="s">
        <v>232</v>
      </c>
      <c r="C8" s="27" t="s">
        <v>325</v>
      </c>
      <c r="D8" s="27">
        <v>0.5</v>
      </c>
      <c r="E8" s="27" t="b">
        <v>0</v>
      </c>
      <c r="F8" s="27" t="s">
        <v>322</v>
      </c>
      <c r="G8" s="27" t="s">
        <v>326</v>
      </c>
    </row>
    <row r="9" ht="16.5" customHeight="1">
      <c r="B9" s="27" t="s">
        <v>240</v>
      </c>
      <c r="C9" s="27" t="s">
        <v>327</v>
      </c>
      <c r="D9" s="27">
        <v>0.8</v>
      </c>
      <c r="E9" s="27" t="b">
        <v>0</v>
      </c>
      <c r="F9" s="27" t="s">
        <v>322</v>
      </c>
      <c r="G9" s="27" t="s">
        <v>328</v>
      </c>
    </row>
    <row r="10" ht="16.5" customHeight="1">
      <c r="B10" s="27" t="s">
        <v>197</v>
      </c>
      <c r="C10" s="27" t="s">
        <v>329</v>
      </c>
      <c r="D10" s="27">
        <v>0.8</v>
      </c>
      <c r="E10" s="27" t="b">
        <v>0</v>
      </c>
      <c r="F10" s="27" t="s">
        <v>322</v>
      </c>
      <c r="G10" s="27" t="s">
        <v>330</v>
      </c>
    </row>
    <row r="11" ht="16.5" customHeight="1">
      <c r="B11" s="27" t="s">
        <v>204</v>
      </c>
      <c r="C11" s="27" t="s">
        <v>331</v>
      </c>
      <c r="D11" s="27">
        <v>0.8</v>
      </c>
      <c r="E11" s="27" t="b">
        <v>0</v>
      </c>
      <c r="F11" s="27" t="s">
        <v>322</v>
      </c>
      <c r="G11" s="27" t="s">
        <v>332</v>
      </c>
    </row>
    <row r="12" ht="16.5" customHeight="1">
      <c r="B12" s="27" t="s">
        <v>311</v>
      </c>
      <c r="C12" s="27" t="s">
        <v>333</v>
      </c>
      <c r="D12" s="27">
        <v>1.0</v>
      </c>
      <c r="E12" s="27" t="b">
        <v>0</v>
      </c>
      <c r="F12" s="27" t="s">
        <v>322</v>
      </c>
      <c r="G12" s="27" t="s">
        <v>334</v>
      </c>
    </row>
    <row r="13" ht="16.5" customHeight="1">
      <c r="B13" s="27" t="s">
        <v>264</v>
      </c>
      <c r="C13" s="27" t="s">
        <v>335</v>
      </c>
      <c r="D13" s="27">
        <v>0.3</v>
      </c>
      <c r="E13" s="27" t="b">
        <v>0</v>
      </c>
      <c r="F13" s="27" t="s">
        <v>322</v>
      </c>
      <c r="G13" s="27" t="s">
        <v>336</v>
      </c>
    </row>
    <row r="14" ht="16.5" customHeight="1">
      <c r="B14" s="27" t="s">
        <v>207</v>
      </c>
      <c r="C14" s="27" t="s">
        <v>337</v>
      </c>
      <c r="D14" s="27">
        <v>0.8</v>
      </c>
      <c r="E14" s="27" t="b">
        <v>0</v>
      </c>
      <c r="F14" s="27" t="s">
        <v>322</v>
      </c>
      <c r="G14" s="27" t="s">
        <v>338</v>
      </c>
    </row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8.13"/>
    <col customWidth="1" min="3" max="3" width="15.63"/>
    <col customWidth="1" min="4" max="4" width="14.25"/>
    <col customWidth="1" min="5" max="5" width="14.0"/>
    <col customWidth="1" min="8" max="8" width="14.75"/>
    <col customWidth="1" min="9" max="9" width="13.5"/>
  </cols>
  <sheetData>
    <row r="2" ht="22.5" customHeight="1">
      <c r="B2" s="14" t="s">
        <v>339</v>
      </c>
      <c r="C2" s="14" t="s">
        <v>98</v>
      </c>
      <c r="D2" s="14" t="s">
        <v>101</v>
      </c>
      <c r="E2" s="14" t="s">
        <v>104</v>
      </c>
      <c r="F2" s="14" t="s">
        <v>107</v>
      </c>
      <c r="G2" s="14" t="s">
        <v>110</v>
      </c>
      <c r="H2" s="14" t="s">
        <v>113</v>
      </c>
      <c r="I2" s="14" t="s">
        <v>116</v>
      </c>
    </row>
    <row r="3" ht="22.5" customHeight="1">
      <c r="B3" s="28" t="s">
        <v>96</v>
      </c>
      <c r="C3" s="28" t="s">
        <v>99</v>
      </c>
      <c r="D3" s="28" t="s">
        <v>102</v>
      </c>
      <c r="E3" s="28" t="s">
        <v>105</v>
      </c>
      <c r="F3" s="28" t="s">
        <v>108</v>
      </c>
      <c r="G3" s="28" t="s">
        <v>111</v>
      </c>
      <c r="H3" s="28" t="s">
        <v>340</v>
      </c>
      <c r="I3" s="28" t="s">
        <v>117</v>
      </c>
    </row>
    <row r="4" ht="22.5" customHeight="1">
      <c r="B4" s="28" t="s">
        <v>12</v>
      </c>
      <c r="C4" s="28" t="s">
        <v>12</v>
      </c>
      <c r="D4" s="28" t="s">
        <v>18</v>
      </c>
      <c r="E4" s="28" t="s">
        <v>18</v>
      </c>
      <c r="F4" s="28" t="s">
        <v>37</v>
      </c>
      <c r="G4" s="28" t="s">
        <v>8</v>
      </c>
      <c r="H4" s="28" t="s">
        <v>87</v>
      </c>
      <c r="I4" s="28" t="s">
        <v>87</v>
      </c>
    </row>
    <row r="5" ht="22.5" customHeight="1">
      <c r="B5" s="27" t="s">
        <v>326</v>
      </c>
      <c r="C5" s="27" t="s">
        <v>341</v>
      </c>
      <c r="D5" s="27" t="s">
        <v>342</v>
      </c>
      <c r="E5" s="27" t="s">
        <v>23</v>
      </c>
      <c r="F5" s="27">
        <v>0.02</v>
      </c>
      <c r="G5" s="27">
        <v>3.0</v>
      </c>
      <c r="H5" s="27" t="b">
        <v>0</v>
      </c>
      <c r="I5" s="27" t="b">
        <v>1</v>
      </c>
    </row>
    <row r="6" ht="22.5" customHeight="1">
      <c r="B6" s="27" t="s">
        <v>328</v>
      </c>
      <c r="C6" s="27" t="s">
        <v>327</v>
      </c>
      <c r="D6" s="27" t="s">
        <v>342</v>
      </c>
      <c r="E6" s="27" t="s">
        <v>23</v>
      </c>
      <c r="F6" s="27">
        <v>10.0</v>
      </c>
      <c r="G6" s="27">
        <v>3.0</v>
      </c>
      <c r="H6" s="27" t="b">
        <v>0</v>
      </c>
      <c r="I6" s="27" t="b">
        <v>0</v>
      </c>
    </row>
    <row r="7" ht="22.5" customHeight="1">
      <c r="B7" s="27" t="s">
        <v>330</v>
      </c>
      <c r="C7" s="27" t="s">
        <v>329</v>
      </c>
      <c r="D7" s="27" t="s">
        <v>343</v>
      </c>
      <c r="E7" s="27" t="s">
        <v>344</v>
      </c>
      <c r="F7" s="27">
        <v>0.2</v>
      </c>
      <c r="G7" s="27">
        <v>2.0</v>
      </c>
      <c r="H7" s="27" t="b">
        <v>0</v>
      </c>
      <c r="I7" s="27" t="b">
        <v>0</v>
      </c>
    </row>
    <row r="8" ht="22.5" customHeight="1">
      <c r="B8" s="27" t="s">
        <v>332</v>
      </c>
      <c r="C8" s="27" t="s">
        <v>331</v>
      </c>
      <c r="D8" s="27" t="s">
        <v>343</v>
      </c>
      <c r="E8" s="27" t="s">
        <v>35</v>
      </c>
      <c r="F8" s="27">
        <v>0.1</v>
      </c>
      <c r="G8" s="27">
        <v>2.0</v>
      </c>
      <c r="H8" s="27" t="b">
        <v>0</v>
      </c>
      <c r="I8" s="27" t="b">
        <v>0</v>
      </c>
    </row>
    <row r="9" ht="22.5" customHeight="1">
      <c r="B9" s="27" t="s">
        <v>334</v>
      </c>
      <c r="C9" s="27" t="s">
        <v>333</v>
      </c>
      <c r="D9" s="27" t="s">
        <v>345</v>
      </c>
      <c r="E9" s="27" t="s">
        <v>322</v>
      </c>
      <c r="F9" s="27" t="s">
        <v>322</v>
      </c>
      <c r="G9" s="27">
        <v>2.0</v>
      </c>
      <c r="H9" s="27" t="b">
        <v>0</v>
      </c>
      <c r="I9" s="27" t="b">
        <v>0</v>
      </c>
    </row>
    <row r="10" ht="22.5" customHeight="1">
      <c r="B10" s="27" t="s">
        <v>336</v>
      </c>
      <c r="C10" s="27" t="s">
        <v>346</v>
      </c>
      <c r="D10" s="27" t="s">
        <v>264</v>
      </c>
      <c r="E10" s="27" t="s">
        <v>322</v>
      </c>
      <c r="F10" s="27" t="s">
        <v>322</v>
      </c>
      <c r="G10" s="27">
        <v>2.0</v>
      </c>
      <c r="H10" s="27" t="b">
        <v>1</v>
      </c>
      <c r="I10" s="27" t="b">
        <v>0</v>
      </c>
    </row>
    <row r="11" ht="22.5" customHeight="1">
      <c r="B11" s="27" t="s">
        <v>338</v>
      </c>
      <c r="C11" s="27" t="s">
        <v>337</v>
      </c>
      <c r="D11" s="27" t="s">
        <v>343</v>
      </c>
      <c r="E11" s="27" t="s">
        <v>347</v>
      </c>
      <c r="F11" s="27">
        <v>0.3</v>
      </c>
      <c r="G11" s="27">
        <v>2.0</v>
      </c>
      <c r="H11" s="27" t="b">
        <v>0</v>
      </c>
      <c r="I11" s="27" t="b">
        <v>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2.5"/>
    <col customWidth="1" min="3" max="3" width="14.38"/>
    <col customWidth="1" min="4" max="4" width="20.88"/>
    <col customWidth="1" min="5" max="5" width="15.5"/>
    <col customWidth="1" min="6" max="6" width="20.13"/>
    <col customWidth="1" min="7" max="7" width="15.5"/>
    <col customWidth="1" min="8" max="8" width="23.75"/>
    <col customWidth="1" min="9" max="9" width="15.5"/>
    <col customWidth="1" min="10" max="10" width="23.75"/>
    <col customWidth="1" min="11" max="11" width="14.25"/>
    <col customWidth="1" min="12" max="12" width="20.13"/>
    <col customWidth="1" min="13" max="13" width="12.88"/>
    <col customWidth="1" min="14" max="14" width="19.25"/>
    <col customWidth="1" min="15" max="15" width="11.38"/>
    <col customWidth="1" min="16" max="16" width="17.88"/>
    <col customWidth="1" min="17" max="17" width="14.25"/>
    <col customWidth="1" min="18" max="18" width="16.38"/>
    <col customWidth="1" min="19" max="26" width="7.63"/>
  </cols>
  <sheetData>
    <row r="1" ht="16.5" customHeight="1"/>
    <row r="2" ht="16.5" customHeight="1">
      <c r="B2" s="29" t="s">
        <v>121</v>
      </c>
      <c r="C2" s="30" t="s">
        <v>125</v>
      </c>
      <c r="D2" s="29" t="s">
        <v>129</v>
      </c>
      <c r="E2" s="31" t="s">
        <v>134</v>
      </c>
      <c r="F2" s="31" t="s">
        <v>138</v>
      </c>
      <c r="G2" s="31" t="s">
        <v>348</v>
      </c>
      <c r="H2" s="31" t="s">
        <v>145</v>
      </c>
      <c r="I2" s="31" t="s">
        <v>349</v>
      </c>
      <c r="J2" s="31" t="s">
        <v>153</v>
      </c>
      <c r="K2" s="31" t="s">
        <v>350</v>
      </c>
      <c r="L2" s="30" t="s">
        <v>160</v>
      </c>
      <c r="M2" s="30" t="s">
        <v>163</v>
      </c>
      <c r="N2" s="30" t="s">
        <v>166</v>
      </c>
      <c r="O2" s="30" t="s">
        <v>169</v>
      </c>
      <c r="P2" s="30" t="s">
        <v>172</v>
      </c>
      <c r="Q2" s="30" t="s">
        <v>175</v>
      </c>
      <c r="R2" s="29" t="s">
        <v>178</v>
      </c>
      <c r="S2" s="29" t="s">
        <v>181</v>
      </c>
    </row>
    <row r="3" ht="16.5" customHeight="1">
      <c r="B3" s="26" t="s">
        <v>122</v>
      </c>
      <c r="C3" s="32" t="s">
        <v>351</v>
      </c>
      <c r="D3" s="32" t="s">
        <v>352</v>
      </c>
      <c r="E3" s="32" t="s">
        <v>353</v>
      </c>
      <c r="F3" s="32" t="s">
        <v>354</v>
      </c>
      <c r="G3" s="32" t="s">
        <v>355</v>
      </c>
      <c r="H3" s="32" t="s">
        <v>356</v>
      </c>
      <c r="I3" s="32" t="s">
        <v>357</v>
      </c>
      <c r="J3" s="32" t="s">
        <v>358</v>
      </c>
      <c r="K3" s="32" t="s">
        <v>359</v>
      </c>
      <c r="L3" s="32" t="s">
        <v>360</v>
      </c>
      <c r="M3" s="32" t="s">
        <v>361</v>
      </c>
      <c r="N3" s="32" t="s">
        <v>362</v>
      </c>
      <c r="O3" s="32" t="s">
        <v>363</v>
      </c>
      <c r="P3" s="32" t="s">
        <v>364</v>
      </c>
      <c r="Q3" s="32" t="s">
        <v>365</v>
      </c>
      <c r="R3" s="32" t="s">
        <v>179</v>
      </c>
      <c r="S3" s="32" t="s">
        <v>182</v>
      </c>
    </row>
    <row r="4" ht="16.5" customHeight="1">
      <c r="B4" s="26" t="s">
        <v>8</v>
      </c>
      <c r="C4" s="32" t="s">
        <v>18</v>
      </c>
      <c r="D4" s="26" t="s">
        <v>8</v>
      </c>
      <c r="E4" s="26" t="s">
        <v>37</v>
      </c>
      <c r="F4" s="26" t="s">
        <v>8</v>
      </c>
      <c r="G4" s="26" t="s">
        <v>37</v>
      </c>
      <c r="H4" s="26" t="s">
        <v>8</v>
      </c>
      <c r="I4" s="26" t="s">
        <v>37</v>
      </c>
      <c r="J4" s="26" t="s">
        <v>8</v>
      </c>
      <c r="K4" s="26" t="s">
        <v>37</v>
      </c>
      <c r="L4" s="26" t="s">
        <v>8</v>
      </c>
      <c r="M4" s="26" t="s">
        <v>37</v>
      </c>
      <c r="N4" s="26" t="s">
        <v>8</v>
      </c>
      <c r="O4" s="26" t="s">
        <v>37</v>
      </c>
      <c r="P4" s="26" t="s">
        <v>8</v>
      </c>
      <c r="Q4" s="26" t="s">
        <v>37</v>
      </c>
      <c r="R4" s="26" t="s">
        <v>8</v>
      </c>
      <c r="S4" s="32" t="s">
        <v>8</v>
      </c>
    </row>
    <row r="5" ht="16.5" customHeight="1">
      <c r="B5" s="18">
        <v>10001.0</v>
      </c>
      <c r="C5" s="33" t="s">
        <v>366</v>
      </c>
      <c r="D5" s="33" t="s">
        <v>322</v>
      </c>
      <c r="E5" s="33" t="s">
        <v>322</v>
      </c>
      <c r="F5" s="33" t="s">
        <v>322</v>
      </c>
      <c r="G5" s="33" t="s">
        <v>322</v>
      </c>
      <c r="H5" s="33" t="s">
        <v>322</v>
      </c>
      <c r="I5" s="33" t="s">
        <v>322</v>
      </c>
      <c r="J5" s="33" t="s">
        <v>322</v>
      </c>
      <c r="K5" s="33" t="s">
        <v>322</v>
      </c>
      <c r="L5" s="33" t="s">
        <v>322</v>
      </c>
      <c r="M5" s="33" t="s">
        <v>322</v>
      </c>
      <c r="N5" s="33" t="s">
        <v>322</v>
      </c>
      <c r="O5" s="33" t="s">
        <v>322</v>
      </c>
      <c r="P5" s="33" t="s">
        <v>322</v>
      </c>
      <c r="Q5" s="33" t="s">
        <v>322</v>
      </c>
      <c r="R5" s="19"/>
      <c r="S5" s="19"/>
    </row>
    <row r="6" ht="16.5" customHeight="1">
      <c r="B6" s="18">
        <v>11002.0</v>
      </c>
      <c r="C6" s="33" t="s">
        <v>367</v>
      </c>
      <c r="D6" s="33" t="s">
        <v>368</v>
      </c>
      <c r="E6" s="33">
        <v>0.2</v>
      </c>
      <c r="F6" s="33" t="s">
        <v>369</v>
      </c>
      <c r="G6" s="33">
        <v>0.2</v>
      </c>
      <c r="H6" s="33" t="s">
        <v>370</v>
      </c>
      <c r="I6" s="33">
        <v>0.2</v>
      </c>
      <c r="J6" s="33" t="s">
        <v>322</v>
      </c>
      <c r="K6" s="33">
        <v>0.2</v>
      </c>
      <c r="L6" s="33" t="s">
        <v>371</v>
      </c>
      <c r="M6" s="33">
        <v>0.2</v>
      </c>
      <c r="N6" s="33" t="s">
        <v>372</v>
      </c>
      <c r="O6" s="33">
        <v>0.2</v>
      </c>
      <c r="P6" s="33" t="s">
        <v>373</v>
      </c>
      <c r="Q6" s="33">
        <v>0.2</v>
      </c>
      <c r="R6" s="19"/>
      <c r="S6" s="19"/>
    </row>
    <row r="7" ht="16.5" customHeight="1">
      <c r="B7" s="18">
        <v>20003.0</v>
      </c>
      <c r="C7" s="33" t="s">
        <v>366</v>
      </c>
      <c r="D7" s="33" t="s">
        <v>322</v>
      </c>
      <c r="E7" s="33" t="s">
        <v>322</v>
      </c>
      <c r="F7" s="33" t="s">
        <v>322</v>
      </c>
      <c r="G7" s="33" t="s">
        <v>322</v>
      </c>
      <c r="H7" s="33" t="s">
        <v>322</v>
      </c>
      <c r="I7" s="33" t="s">
        <v>322</v>
      </c>
      <c r="J7" s="33" t="s">
        <v>322</v>
      </c>
      <c r="K7" s="33" t="s">
        <v>322</v>
      </c>
      <c r="L7" s="33" t="s">
        <v>322</v>
      </c>
      <c r="M7" s="33" t="s">
        <v>322</v>
      </c>
      <c r="N7" s="33" t="s">
        <v>322</v>
      </c>
      <c r="O7" s="33" t="s">
        <v>322</v>
      </c>
      <c r="P7" s="33" t="s">
        <v>322</v>
      </c>
      <c r="Q7" s="33" t="s">
        <v>322</v>
      </c>
      <c r="R7" s="19"/>
      <c r="S7" s="19"/>
    </row>
    <row r="8" ht="16.5" customHeight="1">
      <c r="B8" s="18">
        <v>21004.0</v>
      </c>
      <c r="C8" s="33" t="s">
        <v>367</v>
      </c>
      <c r="D8" s="33" t="s">
        <v>374</v>
      </c>
      <c r="E8" s="33">
        <v>0.2</v>
      </c>
      <c r="F8" s="33" t="s">
        <v>375</v>
      </c>
      <c r="G8" s="33">
        <v>0.2</v>
      </c>
      <c r="H8" s="33" t="s">
        <v>376</v>
      </c>
      <c r="I8" s="33">
        <v>0.2</v>
      </c>
      <c r="J8" s="33" t="s">
        <v>377</v>
      </c>
      <c r="K8" s="33">
        <v>0.2</v>
      </c>
      <c r="L8" s="33" t="s">
        <v>378</v>
      </c>
      <c r="M8" s="33">
        <v>0.2</v>
      </c>
      <c r="N8" s="33" t="s">
        <v>379</v>
      </c>
      <c r="O8" s="33">
        <v>0.2</v>
      </c>
      <c r="P8" s="33" t="s">
        <v>380</v>
      </c>
      <c r="Q8" s="33">
        <v>0.2</v>
      </c>
      <c r="R8" s="19"/>
      <c r="S8" s="19"/>
    </row>
    <row r="9" ht="16.5" customHeight="1">
      <c r="B9" s="18">
        <v>30005.0</v>
      </c>
      <c r="C9" s="33" t="s">
        <v>366</v>
      </c>
      <c r="D9" s="33" t="s">
        <v>322</v>
      </c>
      <c r="E9" s="33" t="s">
        <v>322</v>
      </c>
      <c r="F9" s="33" t="s">
        <v>322</v>
      </c>
      <c r="G9" s="33" t="s">
        <v>322</v>
      </c>
      <c r="H9" s="33" t="s">
        <v>322</v>
      </c>
      <c r="I9" s="33" t="s">
        <v>322</v>
      </c>
      <c r="J9" s="33" t="s">
        <v>322</v>
      </c>
      <c r="K9" s="33" t="s">
        <v>322</v>
      </c>
      <c r="L9" s="33" t="s">
        <v>322</v>
      </c>
      <c r="M9" s="33" t="s">
        <v>322</v>
      </c>
      <c r="N9" s="33" t="s">
        <v>322</v>
      </c>
      <c r="O9" s="33" t="s">
        <v>322</v>
      </c>
      <c r="P9" s="33" t="s">
        <v>322</v>
      </c>
      <c r="Q9" s="33" t="s">
        <v>322</v>
      </c>
      <c r="R9" s="19"/>
      <c r="S9" s="19"/>
    </row>
    <row r="10" ht="16.5" customHeight="1">
      <c r="B10" s="18">
        <v>31006.0</v>
      </c>
      <c r="C10" s="33" t="s">
        <v>367</v>
      </c>
      <c r="D10" s="33" t="s">
        <v>381</v>
      </c>
      <c r="E10" s="33">
        <v>0.2</v>
      </c>
      <c r="F10" s="33" t="s">
        <v>382</v>
      </c>
      <c r="G10" s="33">
        <v>0.2</v>
      </c>
      <c r="H10" s="33" t="s">
        <v>383</v>
      </c>
      <c r="I10" s="33">
        <v>0.2</v>
      </c>
      <c r="J10" s="33" t="s">
        <v>384</v>
      </c>
      <c r="K10" s="33">
        <v>0.2</v>
      </c>
      <c r="L10" s="33" t="s">
        <v>385</v>
      </c>
      <c r="M10" s="33">
        <v>0.2</v>
      </c>
      <c r="N10" s="33" t="s">
        <v>386</v>
      </c>
      <c r="O10" s="33">
        <v>0.2</v>
      </c>
      <c r="P10" s="33" t="s">
        <v>387</v>
      </c>
      <c r="Q10" s="33">
        <v>0.2</v>
      </c>
      <c r="R10" s="19"/>
      <c r="S10" s="19"/>
    </row>
    <row r="11" ht="16.5" customHeight="1">
      <c r="B11" s="18">
        <v>40007.0</v>
      </c>
      <c r="C11" s="33" t="s">
        <v>366</v>
      </c>
      <c r="D11" s="33" t="s">
        <v>322</v>
      </c>
      <c r="E11" s="33" t="s">
        <v>322</v>
      </c>
      <c r="F11" s="33" t="s">
        <v>322</v>
      </c>
      <c r="G11" s="33" t="s">
        <v>322</v>
      </c>
      <c r="H11" s="33" t="s">
        <v>322</v>
      </c>
      <c r="I11" s="33" t="s">
        <v>322</v>
      </c>
      <c r="J11" s="33" t="s">
        <v>322</v>
      </c>
      <c r="K11" s="33" t="s">
        <v>322</v>
      </c>
      <c r="L11" s="33" t="s">
        <v>322</v>
      </c>
      <c r="M11" s="33" t="s">
        <v>322</v>
      </c>
      <c r="N11" s="33" t="s">
        <v>322</v>
      </c>
      <c r="O11" s="33" t="s">
        <v>322</v>
      </c>
      <c r="P11" s="33" t="s">
        <v>322</v>
      </c>
      <c r="Q11" s="33" t="s">
        <v>322</v>
      </c>
      <c r="R11" s="19"/>
      <c r="S11" s="19"/>
    </row>
    <row r="12" ht="16.5" customHeight="1">
      <c r="B12" s="18">
        <v>41008.0</v>
      </c>
      <c r="C12" s="33" t="s">
        <v>367</v>
      </c>
      <c r="D12" s="33" t="s">
        <v>388</v>
      </c>
      <c r="E12" s="33">
        <v>0.2</v>
      </c>
      <c r="F12" s="33" t="s">
        <v>389</v>
      </c>
      <c r="G12" s="33">
        <v>0.2</v>
      </c>
      <c r="H12" s="33" t="s">
        <v>390</v>
      </c>
      <c r="I12" s="33">
        <v>0.2</v>
      </c>
      <c r="J12" s="33" t="s">
        <v>391</v>
      </c>
      <c r="K12" s="33">
        <v>0.2</v>
      </c>
      <c r="L12" s="33" t="s">
        <v>392</v>
      </c>
      <c r="M12" s="33">
        <v>0.2</v>
      </c>
      <c r="N12" s="33" t="s">
        <v>393</v>
      </c>
      <c r="O12" s="33">
        <v>0.2</v>
      </c>
      <c r="P12" s="33" t="s">
        <v>394</v>
      </c>
      <c r="Q12" s="33">
        <v>0.2</v>
      </c>
      <c r="R12" s="19"/>
      <c r="S12" s="19"/>
    </row>
    <row r="13" ht="16.5" customHeight="1">
      <c r="B13" s="18">
        <v>50009.0</v>
      </c>
      <c r="C13" s="33" t="s">
        <v>366</v>
      </c>
      <c r="D13" s="33" t="s">
        <v>322</v>
      </c>
      <c r="E13" s="33" t="s">
        <v>322</v>
      </c>
      <c r="F13" s="33" t="s">
        <v>322</v>
      </c>
      <c r="G13" s="33" t="s">
        <v>322</v>
      </c>
      <c r="H13" s="33" t="s">
        <v>322</v>
      </c>
      <c r="I13" s="33" t="s">
        <v>322</v>
      </c>
      <c r="J13" s="33" t="s">
        <v>322</v>
      </c>
      <c r="K13" s="33" t="s">
        <v>322</v>
      </c>
      <c r="L13" s="33" t="s">
        <v>322</v>
      </c>
      <c r="M13" s="33" t="s">
        <v>322</v>
      </c>
      <c r="N13" s="33" t="s">
        <v>322</v>
      </c>
      <c r="O13" s="33" t="s">
        <v>322</v>
      </c>
      <c r="P13" s="33" t="s">
        <v>322</v>
      </c>
      <c r="Q13" s="33" t="s">
        <v>322</v>
      </c>
      <c r="R13" s="19"/>
      <c r="S13" s="19"/>
    </row>
    <row r="14" ht="16.5" customHeight="1">
      <c r="B14" s="18">
        <v>51010.0</v>
      </c>
      <c r="C14" s="33" t="s">
        <v>367</v>
      </c>
      <c r="D14" s="33" t="s">
        <v>395</v>
      </c>
      <c r="E14" s="33">
        <v>0.2</v>
      </c>
      <c r="F14" s="33" t="s">
        <v>396</v>
      </c>
      <c r="G14" s="33">
        <v>0.2</v>
      </c>
      <c r="H14" s="33" t="s">
        <v>397</v>
      </c>
      <c r="I14" s="33">
        <v>0.2</v>
      </c>
      <c r="J14" s="33" t="s">
        <v>398</v>
      </c>
      <c r="K14" s="33">
        <v>0.2</v>
      </c>
      <c r="L14" s="33" t="s">
        <v>399</v>
      </c>
      <c r="M14" s="33">
        <v>0.2</v>
      </c>
      <c r="N14" s="33" t="s">
        <v>400</v>
      </c>
      <c r="O14" s="33">
        <v>0.2</v>
      </c>
      <c r="P14" s="33" t="s">
        <v>401</v>
      </c>
      <c r="Q14" s="33">
        <v>0.2</v>
      </c>
      <c r="R14" s="19"/>
      <c r="S14" s="19"/>
    </row>
    <row r="15" ht="16.5" customHeight="1">
      <c r="B15" s="18">
        <v>60011.0</v>
      </c>
      <c r="C15" s="33" t="s">
        <v>366</v>
      </c>
      <c r="D15" s="33" t="s">
        <v>322</v>
      </c>
      <c r="E15" s="33" t="s">
        <v>322</v>
      </c>
      <c r="F15" s="33" t="s">
        <v>322</v>
      </c>
      <c r="G15" s="33" t="s">
        <v>322</v>
      </c>
      <c r="H15" s="33" t="s">
        <v>322</v>
      </c>
      <c r="I15" s="33" t="s">
        <v>322</v>
      </c>
      <c r="J15" s="33" t="s">
        <v>322</v>
      </c>
      <c r="K15" s="33" t="s">
        <v>322</v>
      </c>
      <c r="L15" s="33" t="s">
        <v>322</v>
      </c>
      <c r="M15" s="33" t="s">
        <v>322</v>
      </c>
      <c r="N15" s="33" t="s">
        <v>322</v>
      </c>
      <c r="O15" s="33" t="s">
        <v>322</v>
      </c>
      <c r="P15" s="33" t="s">
        <v>322</v>
      </c>
      <c r="Q15" s="33" t="s">
        <v>322</v>
      </c>
      <c r="R15" s="19"/>
      <c r="S15" s="19"/>
    </row>
    <row r="16" ht="16.5" customHeight="1">
      <c r="B16" s="18">
        <v>61012.0</v>
      </c>
      <c r="C16" s="33" t="s">
        <v>367</v>
      </c>
      <c r="D16" s="33" t="s">
        <v>402</v>
      </c>
      <c r="E16" s="33">
        <v>0.2</v>
      </c>
      <c r="F16" s="33" t="s">
        <v>403</v>
      </c>
      <c r="G16" s="33">
        <v>0.2</v>
      </c>
      <c r="H16" s="33" t="s">
        <v>404</v>
      </c>
      <c r="I16" s="33">
        <v>0.2</v>
      </c>
      <c r="J16" s="33" t="s">
        <v>405</v>
      </c>
      <c r="K16" s="33">
        <v>0.2</v>
      </c>
      <c r="L16" s="33" t="s">
        <v>406</v>
      </c>
      <c r="M16" s="33">
        <v>0.2</v>
      </c>
      <c r="N16" s="33" t="s">
        <v>407</v>
      </c>
      <c r="O16" s="33">
        <v>0.2</v>
      </c>
      <c r="P16" s="33" t="s">
        <v>408</v>
      </c>
      <c r="Q16" s="33">
        <v>0.2</v>
      </c>
      <c r="R16" s="19"/>
      <c r="S16" s="19"/>
    </row>
    <row r="17" ht="16.5" customHeight="1">
      <c r="B17" s="18">
        <v>70013.0</v>
      </c>
      <c r="C17" s="33" t="s">
        <v>366</v>
      </c>
      <c r="D17" s="33" t="s">
        <v>322</v>
      </c>
      <c r="E17" s="33" t="s">
        <v>322</v>
      </c>
      <c r="F17" s="33" t="s">
        <v>322</v>
      </c>
      <c r="G17" s="33" t="s">
        <v>322</v>
      </c>
      <c r="H17" s="33" t="s">
        <v>322</v>
      </c>
      <c r="I17" s="33" t="s">
        <v>322</v>
      </c>
      <c r="J17" s="33" t="s">
        <v>322</v>
      </c>
      <c r="K17" s="33" t="s">
        <v>322</v>
      </c>
      <c r="L17" s="33" t="s">
        <v>322</v>
      </c>
      <c r="M17" s="33" t="s">
        <v>322</v>
      </c>
      <c r="N17" s="33" t="s">
        <v>322</v>
      </c>
      <c r="O17" s="33" t="s">
        <v>322</v>
      </c>
      <c r="P17" s="33" t="s">
        <v>322</v>
      </c>
      <c r="Q17" s="33" t="s">
        <v>322</v>
      </c>
      <c r="R17" s="19"/>
      <c r="S17" s="19"/>
    </row>
    <row r="18" ht="16.5" customHeight="1">
      <c r="B18" s="18">
        <v>71014.0</v>
      </c>
      <c r="C18" s="33" t="s">
        <v>367</v>
      </c>
      <c r="D18" s="33" t="s">
        <v>409</v>
      </c>
      <c r="E18" s="33">
        <v>0.2</v>
      </c>
      <c r="F18" s="33" t="s">
        <v>410</v>
      </c>
      <c r="G18" s="33">
        <v>0.2</v>
      </c>
      <c r="H18" s="33" t="s">
        <v>411</v>
      </c>
      <c r="I18" s="33">
        <v>0.2</v>
      </c>
      <c r="J18" s="33" t="s">
        <v>412</v>
      </c>
      <c r="K18" s="33">
        <v>0.2</v>
      </c>
      <c r="L18" s="33" t="s">
        <v>413</v>
      </c>
      <c r="M18" s="33">
        <v>0.2</v>
      </c>
      <c r="N18" s="33" t="s">
        <v>414</v>
      </c>
      <c r="O18" s="33">
        <v>0.2</v>
      </c>
      <c r="P18" s="33" t="s">
        <v>415</v>
      </c>
      <c r="Q18" s="33">
        <v>0.2</v>
      </c>
      <c r="R18" s="19"/>
      <c r="S18" s="19"/>
    </row>
    <row r="19" ht="16.5" customHeight="1">
      <c r="B19" s="18">
        <v>82015.0</v>
      </c>
      <c r="C19" s="33" t="s">
        <v>367</v>
      </c>
      <c r="D19" s="33" t="s">
        <v>416</v>
      </c>
      <c r="E19" s="33">
        <v>0.2</v>
      </c>
      <c r="F19" s="33" t="s">
        <v>417</v>
      </c>
      <c r="G19" s="33">
        <v>0.2</v>
      </c>
      <c r="H19" s="33" t="s">
        <v>418</v>
      </c>
      <c r="I19" s="33">
        <v>0.2</v>
      </c>
      <c r="J19" s="33" t="s">
        <v>419</v>
      </c>
      <c r="K19" s="33">
        <v>0.2</v>
      </c>
      <c r="L19" s="33" t="s">
        <v>420</v>
      </c>
      <c r="M19" s="33">
        <v>0.2</v>
      </c>
      <c r="N19" s="33" t="s">
        <v>421</v>
      </c>
      <c r="O19" s="33">
        <v>0.2</v>
      </c>
      <c r="P19" s="33" t="s">
        <v>422</v>
      </c>
      <c r="Q19" s="33">
        <v>0.2</v>
      </c>
      <c r="R19" s="19"/>
      <c r="S19" s="19"/>
    </row>
    <row r="20" ht="16.5" customHeight="1">
      <c r="B20" s="18">
        <v>82016.0</v>
      </c>
      <c r="C20" s="33" t="s">
        <v>367</v>
      </c>
      <c r="D20" s="33" t="s">
        <v>423</v>
      </c>
      <c r="E20" s="33">
        <v>0.2</v>
      </c>
      <c r="F20" s="33" t="s">
        <v>424</v>
      </c>
      <c r="G20" s="33">
        <v>0.2</v>
      </c>
      <c r="H20" s="33" t="s">
        <v>425</v>
      </c>
      <c r="I20" s="33">
        <v>0.2</v>
      </c>
      <c r="J20" s="33" t="s">
        <v>426</v>
      </c>
      <c r="K20" s="33">
        <v>0.2</v>
      </c>
      <c r="L20" s="33" t="s">
        <v>427</v>
      </c>
      <c r="M20" s="33">
        <v>0.2</v>
      </c>
      <c r="N20" s="33" t="s">
        <v>428</v>
      </c>
      <c r="O20" s="33">
        <v>0.2</v>
      </c>
      <c r="P20" s="33" t="s">
        <v>429</v>
      </c>
      <c r="Q20" s="33">
        <v>0.2</v>
      </c>
      <c r="R20" s="19"/>
      <c r="S20" s="19"/>
    </row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2026-05-30T18:28:50Z</dcterms:created>
  <dc:creator>정훈 이</dc:creator>
</cp:coreProperties>
</file>